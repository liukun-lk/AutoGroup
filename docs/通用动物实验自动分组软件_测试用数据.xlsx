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20" windowHeight="18080"/>
  </bookViews>
  <sheets>
    <sheet name="原始数据" sheetId="1" r:id="rId1"/>
    <sheet name="动物分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<sst xmlns="http://schemas.openxmlformats.org/spreadsheetml/2006/main" count="332" uniqueCount="153">
  <si>
    <t>kg</t>
  </si>
  <si>
    <t>℃</t>
  </si>
  <si>
    <t>ALT</t>
  </si>
  <si>
    <t>AST</t>
  </si>
  <si>
    <t>TP</t>
  </si>
  <si>
    <t>ALB</t>
  </si>
  <si>
    <t>TBIL</t>
  </si>
  <si>
    <t>ALP</t>
  </si>
  <si>
    <t>GGT</t>
  </si>
  <si>
    <t>GLU</t>
  </si>
  <si>
    <t>UREA</t>
  </si>
  <si>
    <t>CREA</t>
  </si>
  <si>
    <t>Ca</t>
  </si>
  <si>
    <t>P</t>
  </si>
  <si>
    <t>CHOl</t>
  </si>
  <si>
    <t>TG</t>
  </si>
  <si>
    <t>CK</t>
  </si>
  <si>
    <t>LDH</t>
  </si>
  <si>
    <t>K</t>
  </si>
  <si>
    <t>Na</t>
  </si>
  <si>
    <t>CL</t>
  </si>
  <si>
    <t>GLOB</t>
  </si>
  <si>
    <t>A/G</t>
  </si>
  <si>
    <t>AST/ALT</t>
  </si>
  <si>
    <t>动物编号</t>
  </si>
  <si>
    <t>性别</t>
  </si>
  <si>
    <t>体重</t>
  </si>
  <si>
    <t>肛温</t>
  </si>
  <si>
    <t>U/L</t>
  </si>
  <si>
    <t>g/L</t>
  </si>
  <si>
    <t>umol/L</t>
  </si>
  <si>
    <t>mmol/L</t>
  </si>
  <si>
    <t>样本号</t>
  </si>
  <si>
    <t>WBC(10^9/L)</t>
  </si>
  <si>
    <t>RBC(10^12/L)</t>
  </si>
  <si>
    <t>HGB(g/L)</t>
  </si>
  <si>
    <t>HCT(%)</t>
  </si>
  <si>
    <t>MCV(fL)</t>
  </si>
  <si>
    <t>MCH(pg)</t>
  </si>
  <si>
    <t>MCHC(g/L)</t>
  </si>
  <si>
    <t>PLT(10^9/L)</t>
  </si>
  <si>
    <t>RDW-SD(fL)</t>
  </si>
  <si>
    <t>RDW-CV(%)</t>
  </si>
  <si>
    <t>PDW(fL)</t>
  </si>
  <si>
    <t>MPV(fL)</t>
  </si>
  <si>
    <t>P-LCR(%)</t>
  </si>
  <si>
    <t>PCT(%)</t>
  </si>
  <si>
    <t>NRBC#(10^9/L)</t>
  </si>
  <si>
    <t>NRBC%(%)</t>
  </si>
  <si>
    <t>NEUT#(10^9/L)</t>
  </si>
  <si>
    <t>LYMPH#(10^9/L)</t>
  </si>
  <si>
    <t>MONO#(10^9/L)</t>
  </si>
  <si>
    <t>EO#(10^9/L)</t>
  </si>
  <si>
    <t>BASO#(10^9/L)</t>
  </si>
  <si>
    <t>NEUT%(%)</t>
  </si>
  <si>
    <t>LYMPH%(%)</t>
  </si>
  <si>
    <t>MONO%(%)</t>
  </si>
  <si>
    <t>EO%(%)</t>
  </si>
  <si>
    <t>BASO%(%)</t>
  </si>
  <si>
    <t>RET%(%)</t>
  </si>
  <si>
    <t>RET#(10^12/L)</t>
  </si>
  <si>
    <t>IRF(%)</t>
  </si>
  <si>
    <t>LFR(%)</t>
  </si>
  <si>
    <t>MFR(%)</t>
  </si>
  <si>
    <t>HFR(%)</t>
  </si>
  <si>
    <t>RET-He(pg)</t>
  </si>
  <si>
    <t>样品识别号</t>
  </si>
  <si>
    <t xml:space="preserve">Fbg DT~sec                      </t>
  </si>
  <si>
    <t xml:space="preserve">APTT FSL~sec                    </t>
  </si>
  <si>
    <t xml:space="preserve">TT Thr~sec                      </t>
  </si>
  <si>
    <t xml:space="preserve">PT THS~sec                      </t>
  </si>
  <si>
    <t xml:space="preserve">Fbg DT                          </t>
  </si>
  <si>
    <t xml:space="preserve">PT THS~%                        </t>
  </si>
  <si>
    <t xml:space="preserve">PT THS~R.                       </t>
  </si>
  <si>
    <t xml:space="preserve">PT THS~INR                      </t>
  </si>
  <si>
    <t>FULLNAME</t>
  </si>
  <si>
    <t>R(min)</t>
  </si>
  <si>
    <t>K(min)</t>
  </si>
  <si>
    <t>Angle(deg)</t>
  </si>
  <si>
    <t>MA(mm)</t>
  </si>
  <si>
    <t>CI</t>
  </si>
  <si>
    <t>XHP2601001</t>
  </si>
  <si>
    <t>F</t>
  </si>
  <si>
    <t>XHP2601002</t>
  </si>
  <si>
    <t>XHP2601003</t>
  </si>
  <si>
    <t>XHP2601004</t>
  </si>
  <si>
    <t>M</t>
  </si>
  <si>
    <t>XHP2601005</t>
  </si>
  <si>
    <t>XHP2601006</t>
  </si>
  <si>
    <t>XHP2601007</t>
  </si>
  <si>
    <t>XHP2601008</t>
  </si>
  <si>
    <t>XHP2601009</t>
  </si>
  <si>
    <t>(10^9/L)</t>
  </si>
  <si>
    <t>(10^12/L)</t>
  </si>
  <si>
    <t>(g/L)</t>
  </si>
  <si>
    <t>(%)</t>
  </si>
  <si>
    <t>(fL)</t>
  </si>
  <si>
    <t>(pg)</t>
  </si>
  <si>
    <t>~sec</t>
  </si>
  <si>
    <t>~%</t>
  </si>
  <si>
    <t>(min)</t>
  </si>
  <si>
    <t>(deg)</t>
  </si>
  <si>
    <t>(mm)</t>
  </si>
  <si>
    <t>组别</t>
  </si>
  <si>
    <t>WBC</t>
  </si>
  <si>
    <t>RBC</t>
  </si>
  <si>
    <t>HGB</t>
  </si>
  <si>
    <t>HCT</t>
  </si>
  <si>
    <t>MCV</t>
  </si>
  <si>
    <t>MCH</t>
  </si>
  <si>
    <t>MCHC</t>
  </si>
  <si>
    <t>PLT</t>
  </si>
  <si>
    <t>RDW-SD</t>
  </si>
  <si>
    <t>RDW-CV</t>
  </si>
  <si>
    <t>PDW</t>
  </si>
  <si>
    <t>MPV</t>
  </si>
  <si>
    <t>P-LCR</t>
  </si>
  <si>
    <t>PCT</t>
  </si>
  <si>
    <t>NRBC#</t>
  </si>
  <si>
    <t>NRBC%</t>
  </si>
  <si>
    <t>NEUT#</t>
  </si>
  <si>
    <t>LYMPH#</t>
  </si>
  <si>
    <t>MONO#</t>
  </si>
  <si>
    <t>EO#</t>
  </si>
  <si>
    <t>BASO#</t>
  </si>
  <si>
    <t>NEUT%</t>
  </si>
  <si>
    <t>LYMPH%</t>
  </si>
  <si>
    <t>MONO%</t>
  </si>
  <si>
    <t>EO%</t>
  </si>
  <si>
    <t>BASO%</t>
  </si>
  <si>
    <t>RET%</t>
  </si>
  <si>
    <t>RET#</t>
  </si>
  <si>
    <t>IRF</t>
  </si>
  <si>
    <t>LFR</t>
  </si>
  <si>
    <t>MFR</t>
  </si>
  <si>
    <t>HFR</t>
  </si>
  <si>
    <t>RET-He</t>
  </si>
  <si>
    <t>Fbg DT</t>
  </si>
  <si>
    <t>APTT FSL</t>
  </si>
  <si>
    <t>TT Thr</t>
  </si>
  <si>
    <t>PT THS</t>
  </si>
  <si>
    <t>PT THS~R</t>
  </si>
  <si>
    <t>PT THS~INR</t>
  </si>
  <si>
    <t>R</t>
  </si>
  <si>
    <t>Angle</t>
  </si>
  <si>
    <t>MA</t>
  </si>
  <si>
    <t>雌性</t>
  </si>
  <si>
    <t>雄性</t>
  </si>
  <si>
    <t>均值±标准差</t>
  </si>
  <si>
    <r>
      <rPr>
        <b/>
        <i/>
        <sz val="9"/>
        <color theme="1"/>
        <rFont val="宋体"/>
        <charset val="134"/>
      </rPr>
      <t>P</t>
    </r>
    <r>
      <rPr>
        <b/>
        <sz val="9"/>
        <color theme="1"/>
        <rFont val="宋体"/>
        <charset val="134"/>
      </rPr>
      <t>值
（Ttest）</t>
    </r>
  </si>
  <si>
    <t>1 vs 2</t>
  </si>
  <si>
    <t>1 vs 3</t>
  </si>
  <si>
    <t>2 vs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</si>
</sst>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.0"/>
    <numFmt numFmtId="177" formatCode="#.00"/>
    <numFmt numFmtId="178" formatCode="0.00_ "/>
    <numFmt numFmtId="179" formatCode="0.0_ "/>
    <numFmt numFmtId="180" formatCode="0.000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宋体"/>
      <charset val="134"/>
    </font>
    <font>
      <b/>
      <sz val="11"/>
      <color theme="1"/>
      <name val="宋体"/>
      <charset val="134"/>
    </font>
    <font>
      <b/>
      <sz val="9"/>
      <color theme="1"/>
      <name val="宋体"/>
      <charset val="134"/>
    </font>
    <font>
      <b/>
      <i/>
      <sz val="9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80" fontId="4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0" borderId="0" xfId="0" applyFont="1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7" fontId="6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0070C0"/>
      </font>
    </dxf>
    <dxf>
      <font>
        <color rgb="FFC0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1"/>
  <sheetViews>
    <sheetView tabSelected="1" workbookViewId="0">
      <selection activeCell="I24" sqref="I24"/>
    </sheetView>
  </sheetViews>
  <sheetFormatPr defaultColWidth="9.69230769230769" defaultRowHeight="16.8"/>
  <cols>
    <col min="1" max="1" width="13.1923076923077" style="14" customWidth="1"/>
    <col min="2" max="24" width="9.69230769230769" style="14"/>
    <col min="25" max="25" width="13.1923076923077" style="14" customWidth="1"/>
    <col min="26" max="58" width="9.69230769230769" style="14"/>
    <col min="59" max="59" width="13.1923076923077" style="14" customWidth="1"/>
    <col min="60" max="67" width="9.69230769230769" style="14"/>
    <col min="68" max="68" width="13.1923076923077" style="14" customWidth="1"/>
    <col min="69" max="16384" width="9.69230769230769" style="14"/>
  </cols>
  <sheetData>
    <row r="1" s="14" customFormat="1" spans="1:75">
      <c r="A1" s="15"/>
      <c r="B1" s="15"/>
      <c r="C1" s="3" t="s">
        <v>0</v>
      </c>
      <c r="D1" s="3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6" t="s">
        <v>6</v>
      </c>
      <c r="J1" s="16" t="s">
        <v>7</v>
      </c>
      <c r="K1" s="16" t="s">
        <v>8</v>
      </c>
      <c r="L1" s="17" t="s">
        <v>9</v>
      </c>
      <c r="M1" s="17" t="s">
        <v>10</v>
      </c>
      <c r="N1" s="16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6" t="s">
        <v>16</v>
      </c>
      <c r="T1" s="16" t="s">
        <v>17</v>
      </c>
      <c r="U1" s="17" t="s">
        <v>18</v>
      </c>
      <c r="V1" s="16" t="s">
        <v>19</v>
      </c>
      <c r="W1" s="16" t="s">
        <v>20</v>
      </c>
      <c r="X1" s="17" t="s">
        <v>21</v>
      </c>
      <c r="Y1" s="17" t="s">
        <v>22</v>
      </c>
      <c r="Z1" s="17" t="s">
        <v>23</v>
      </c>
    </row>
    <row r="2" s="14" customFormat="1" spans="1:75">
      <c r="A2" s="18" t="s">
        <v>24</v>
      </c>
      <c r="B2" s="18" t="s">
        <v>25</v>
      </c>
      <c r="C2" s="3" t="s">
        <v>26</v>
      </c>
      <c r="D2" s="3" t="s">
        <v>27</v>
      </c>
      <c r="E2" s="16" t="s">
        <v>28</v>
      </c>
      <c r="F2" s="16" t="s">
        <v>28</v>
      </c>
      <c r="G2" s="16" t="s">
        <v>29</v>
      </c>
      <c r="H2" s="16" t="s">
        <v>29</v>
      </c>
      <c r="I2" s="16" t="s">
        <v>30</v>
      </c>
      <c r="J2" s="16" t="s">
        <v>28</v>
      </c>
      <c r="K2" s="16" t="s">
        <v>28</v>
      </c>
      <c r="L2" s="17" t="s">
        <v>31</v>
      </c>
      <c r="M2" s="17" t="s">
        <v>31</v>
      </c>
      <c r="N2" s="16" t="s">
        <v>30</v>
      </c>
      <c r="O2" s="17" t="s">
        <v>31</v>
      </c>
      <c r="P2" s="17" t="s">
        <v>31</v>
      </c>
      <c r="Q2" s="17" t="s">
        <v>31</v>
      </c>
      <c r="R2" s="17" t="s">
        <v>31</v>
      </c>
      <c r="S2" s="16" t="s">
        <v>28</v>
      </c>
      <c r="T2" s="16" t="s">
        <v>28</v>
      </c>
      <c r="U2" s="17" t="s">
        <v>31</v>
      </c>
      <c r="V2" s="16" t="s">
        <v>31</v>
      </c>
      <c r="W2" s="16" t="s">
        <v>31</v>
      </c>
      <c r="X2" s="17" t="s">
        <v>29</v>
      </c>
      <c r="Y2" s="17"/>
      <c r="Z2" s="17"/>
      <c r="AA2" s="15" t="s">
        <v>32</v>
      </c>
      <c r="AB2" s="19" t="s">
        <v>33</v>
      </c>
      <c r="AC2" s="19" t="s">
        <v>34</v>
      </c>
      <c r="AD2" s="19" t="s">
        <v>35</v>
      </c>
      <c r="AE2" s="19" t="s">
        <v>36</v>
      </c>
      <c r="AF2" s="19" t="s">
        <v>37</v>
      </c>
      <c r="AG2" s="19" t="s">
        <v>38</v>
      </c>
      <c r="AH2" s="19" t="s">
        <v>39</v>
      </c>
      <c r="AI2" s="19" t="s">
        <v>40</v>
      </c>
      <c r="AJ2" s="19" t="s">
        <v>41</v>
      </c>
      <c r="AK2" s="19" t="s">
        <v>42</v>
      </c>
      <c r="AL2" s="19" t="s">
        <v>43</v>
      </c>
      <c r="AM2" s="19" t="s">
        <v>44</v>
      </c>
      <c r="AN2" s="19" t="s">
        <v>45</v>
      </c>
      <c r="AO2" s="19" t="s">
        <v>46</v>
      </c>
      <c r="AP2" s="19" t="s">
        <v>47</v>
      </c>
      <c r="AQ2" s="19" t="s">
        <v>48</v>
      </c>
      <c r="AR2" s="19" t="s">
        <v>49</v>
      </c>
      <c r="AS2" s="19" t="s">
        <v>50</v>
      </c>
      <c r="AT2" s="19" t="s">
        <v>51</v>
      </c>
      <c r="AU2" s="19" t="s">
        <v>52</v>
      </c>
      <c r="AV2" s="19" t="s">
        <v>53</v>
      </c>
      <c r="AW2" s="19" t="s">
        <v>54</v>
      </c>
      <c r="AX2" s="19" t="s">
        <v>55</v>
      </c>
      <c r="AY2" s="19" t="s">
        <v>56</v>
      </c>
      <c r="AZ2" s="19" t="s">
        <v>57</v>
      </c>
      <c r="BA2" s="19" t="s">
        <v>58</v>
      </c>
      <c r="BB2" s="19" t="s">
        <v>59</v>
      </c>
      <c r="BC2" s="19" t="s">
        <v>60</v>
      </c>
      <c r="BD2" s="19" t="s">
        <v>61</v>
      </c>
      <c r="BE2" s="19" t="s">
        <v>62</v>
      </c>
      <c r="BF2" s="19" t="s">
        <v>63</v>
      </c>
      <c r="BG2" s="19" t="s">
        <v>64</v>
      </c>
      <c r="BH2" s="19" t="s">
        <v>65</v>
      </c>
      <c r="BI2" s="15" t="s">
        <v>66</v>
      </c>
      <c r="BJ2" s="14" t="s">
        <v>67</v>
      </c>
      <c r="BK2" s="14" t="s">
        <v>68</v>
      </c>
      <c r="BL2" s="14" t="s">
        <v>69</v>
      </c>
      <c r="BM2" s="14" t="s">
        <v>70</v>
      </c>
      <c r="BN2" s="14" t="s">
        <v>71</v>
      </c>
      <c r="BO2" s="14" t="s">
        <v>72</v>
      </c>
      <c r="BP2" s="14" t="s">
        <v>73</v>
      </c>
      <c r="BQ2" s="14" t="s">
        <v>74</v>
      </c>
      <c r="BR2" s="15" t="s">
        <v>75</v>
      </c>
      <c r="BS2" s="14" t="s">
        <v>76</v>
      </c>
      <c r="BT2" s="14" t="s">
        <v>77</v>
      </c>
      <c r="BU2" s="14" t="s">
        <v>78</v>
      </c>
      <c r="BV2" s="14" t="s">
        <v>79</v>
      </c>
      <c r="BW2" s="14" t="s">
        <v>80</v>
      </c>
    </row>
    <row r="3" s="14" customFormat="1" spans="1:75">
      <c r="A3" s="15" t="s">
        <v>81</v>
      </c>
      <c r="B3" s="3" t="s">
        <v>82</v>
      </c>
      <c r="C3" s="7">
        <v>31.85</v>
      </c>
      <c r="D3" s="8">
        <v>38.5</v>
      </c>
      <c r="E3" s="20">
        <v>58.8</v>
      </c>
      <c r="F3" s="20">
        <v>23.1</v>
      </c>
      <c r="G3" s="20">
        <v>76.6</v>
      </c>
      <c r="H3" s="20">
        <v>36.2</v>
      </c>
      <c r="I3" s="20">
        <v>0.7</v>
      </c>
      <c r="J3" s="20">
        <v>99</v>
      </c>
      <c r="K3" s="20">
        <v>61.1</v>
      </c>
      <c r="L3" s="21">
        <v>5.8</v>
      </c>
      <c r="M3" s="21">
        <v>4.08</v>
      </c>
      <c r="N3" s="20">
        <v>89.1</v>
      </c>
      <c r="O3" s="21">
        <v>2.67</v>
      </c>
      <c r="P3" s="21">
        <v>1.95</v>
      </c>
      <c r="Q3" s="21">
        <v>2.4</v>
      </c>
      <c r="R3" s="21">
        <v>0.29</v>
      </c>
      <c r="S3" s="20">
        <v>352.1</v>
      </c>
      <c r="T3" s="20">
        <v>430.6</v>
      </c>
      <c r="U3" s="21">
        <v>4.48</v>
      </c>
      <c r="V3" s="20">
        <v>143.6</v>
      </c>
      <c r="W3" s="20">
        <v>103.4</v>
      </c>
      <c r="X3" s="21">
        <v>40.4</v>
      </c>
      <c r="Y3" s="21">
        <v>0.9</v>
      </c>
      <c r="Z3" s="21">
        <v>0.39</v>
      </c>
      <c r="AA3" s="15" t="s">
        <v>81</v>
      </c>
      <c r="AB3" s="19">
        <v>14.08</v>
      </c>
      <c r="AC3" s="19">
        <v>7.9</v>
      </c>
      <c r="AD3" s="19">
        <v>156</v>
      </c>
      <c r="AE3" s="19">
        <v>49.7</v>
      </c>
      <c r="AF3" s="19">
        <v>62.9</v>
      </c>
      <c r="AG3" s="19">
        <v>19.7</v>
      </c>
      <c r="AH3" s="19">
        <v>314</v>
      </c>
      <c r="AI3" s="19">
        <v>303</v>
      </c>
      <c r="AJ3" s="19">
        <v>38.3</v>
      </c>
      <c r="AK3" s="19">
        <v>19.2</v>
      </c>
      <c r="AL3" s="19">
        <v>11.2</v>
      </c>
      <c r="AM3" s="19">
        <v>9.4</v>
      </c>
      <c r="AN3" s="19">
        <v>23.8</v>
      </c>
      <c r="AO3" s="19">
        <v>0.24</v>
      </c>
      <c r="AP3" s="19">
        <v>0.01</v>
      </c>
      <c r="AQ3" s="19">
        <v>0.1</v>
      </c>
      <c r="AR3" s="19">
        <v>2.57</v>
      </c>
      <c r="AS3" s="19">
        <v>9.39</v>
      </c>
      <c r="AT3" s="19">
        <v>1.32</v>
      </c>
      <c r="AU3" s="19">
        <v>0.49</v>
      </c>
      <c r="AV3" s="19">
        <v>0.31</v>
      </c>
      <c r="AW3" s="19">
        <v>18.2</v>
      </c>
      <c r="AX3" s="19">
        <v>66.7</v>
      </c>
      <c r="AY3" s="19">
        <v>9.4</v>
      </c>
      <c r="AZ3" s="19">
        <v>3.5</v>
      </c>
      <c r="BA3" s="19">
        <v>2.2</v>
      </c>
      <c r="BB3" s="19">
        <v>1.42</v>
      </c>
      <c r="BC3" s="19">
        <v>0.1122</v>
      </c>
      <c r="BD3" s="19">
        <v>9.4</v>
      </c>
      <c r="BE3" s="19">
        <v>90.6</v>
      </c>
      <c r="BF3" s="19">
        <v>8.3</v>
      </c>
      <c r="BG3" s="19">
        <v>1.1</v>
      </c>
      <c r="BH3" s="19">
        <v>19.9</v>
      </c>
      <c r="BI3" s="15" t="s">
        <v>81</v>
      </c>
      <c r="BJ3" s="14">
        <v>10.7</v>
      </c>
      <c r="BK3" s="14">
        <v>23.9</v>
      </c>
      <c r="BL3" s="14">
        <v>21.6</v>
      </c>
      <c r="BM3" s="14">
        <v>11.8</v>
      </c>
      <c r="BN3" s="14">
        <v>1.59</v>
      </c>
      <c r="BO3" s="14">
        <v>88</v>
      </c>
      <c r="BP3" s="14">
        <v>1.03</v>
      </c>
      <c r="BQ3" s="14">
        <v>1.03</v>
      </c>
      <c r="BR3" s="15" t="s">
        <v>81</v>
      </c>
      <c r="BS3" s="14">
        <v>8.9</v>
      </c>
      <c r="BT3" s="14">
        <v>2.6</v>
      </c>
      <c r="BU3" s="14">
        <v>56.7</v>
      </c>
      <c r="BV3" s="14">
        <v>55</v>
      </c>
      <c r="BW3" s="14">
        <v>-3.5</v>
      </c>
    </row>
    <row r="4" s="14" customFormat="1" spans="1:75">
      <c r="A4" s="15" t="s">
        <v>83</v>
      </c>
      <c r="B4" s="3" t="s">
        <v>82</v>
      </c>
      <c r="C4" s="7">
        <v>30.45</v>
      </c>
      <c r="D4" s="8">
        <v>38.5</v>
      </c>
      <c r="E4" s="20">
        <v>42.2</v>
      </c>
      <c r="F4" s="20">
        <v>17.2</v>
      </c>
      <c r="G4" s="20">
        <v>75.4</v>
      </c>
      <c r="H4" s="20">
        <v>34.4</v>
      </c>
      <c r="I4" s="20">
        <v>0.5</v>
      </c>
      <c r="J4" s="20">
        <v>84.4</v>
      </c>
      <c r="K4" s="20">
        <v>48.8</v>
      </c>
      <c r="L4" s="21">
        <v>6.42</v>
      </c>
      <c r="M4" s="21">
        <v>1.95</v>
      </c>
      <c r="N4" s="20">
        <v>73.7</v>
      </c>
      <c r="O4" s="21">
        <v>2.56</v>
      </c>
      <c r="P4" s="21">
        <v>2.11</v>
      </c>
      <c r="Q4" s="21">
        <v>1.59</v>
      </c>
      <c r="R4" s="21">
        <v>0.3</v>
      </c>
      <c r="S4" s="20">
        <v>607.9</v>
      </c>
      <c r="T4" s="20">
        <v>395.3</v>
      </c>
      <c r="U4" s="21">
        <v>4.34</v>
      </c>
      <c r="V4" s="20">
        <v>139.1</v>
      </c>
      <c r="W4" s="20">
        <v>101.9</v>
      </c>
      <c r="X4" s="21">
        <v>41</v>
      </c>
      <c r="Y4" s="21">
        <v>0.84</v>
      </c>
      <c r="Z4" s="21">
        <v>0.41</v>
      </c>
      <c r="AA4" s="15" t="s">
        <v>83</v>
      </c>
      <c r="AB4" s="19">
        <v>14.5</v>
      </c>
      <c r="AC4" s="19">
        <v>8.85</v>
      </c>
      <c r="AD4" s="19">
        <v>153</v>
      </c>
      <c r="AE4" s="19">
        <v>47.7</v>
      </c>
      <c r="AF4" s="19">
        <v>53.9</v>
      </c>
      <c r="AG4" s="19">
        <v>17.3</v>
      </c>
      <c r="AH4" s="19">
        <v>321</v>
      </c>
      <c r="AI4" s="19">
        <v>339</v>
      </c>
      <c r="AJ4" s="19">
        <v>37.9</v>
      </c>
      <c r="AK4" s="19">
        <v>22.1</v>
      </c>
      <c r="AL4" s="19">
        <v>9.2</v>
      </c>
      <c r="AM4" s="19">
        <v>8.1</v>
      </c>
      <c r="AN4" s="19">
        <v>9.8</v>
      </c>
      <c r="AO4" s="19">
        <v>0.22</v>
      </c>
      <c r="AP4" s="19">
        <v>0</v>
      </c>
      <c r="AQ4" s="19">
        <v>0</v>
      </c>
      <c r="AR4" s="19">
        <v>1.72</v>
      </c>
      <c r="AS4" s="19">
        <v>9.58</v>
      </c>
      <c r="AT4" s="19">
        <v>1.88</v>
      </c>
      <c r="AU4" s="19">
        <v>0.95</v>
      </c>
      <c r="AV4" s="19">
        <v>0.37</v>
      </c>
      <c r="AW4" s="19">
        <v>11.7</v>
      </c>
      <c r="AX4" s="19">
        <v>66.1</v>
      </c>
      <c r="AY4" s="19">
        <v>13</v>
      </c>
      <c r="AZ4" s="19">
        <v>6.6</v>
      </c>
      <c r="BA4" s="19">
        <v>2.6</v>
      </c>
      <c r="BB4" s="19">
        <v>0.52</v>
      </c>
      <c r="BC4" s="19">
        <v>0.046</v>
      </c>
      <c r="BD4" s="19">
        <v>10.6</v>
      </c>
      <c r="BE4" s="19">
        <v>89.4</v>
      </c>
      <c r="BF4" s="19">
        <v>3.9</v>
      </c>
      <c r="BG4" s="19">
        <v>6.7</v>
      </c>
      <c r="BH4" s="19">
        <v>17.4</v>
      </c>
      <c r="BI4" s="15" t="s">
        <v>83</v>
      </c>
      <c r="BJ4" s="14">
        <v>11</v>
      </c>
      <c r="BK4" s="14">
        <v>21</v>
      </c>
      <c r="BL4" s="14">
        <v>19.7</v>
      </c>
      <c r="BM4" s="14">
        <v>11.9</v>
      </c>
      <c r="BN4" s="14">
        <v>1.54</v>
      </c>
      <c r="BO4" s="14">
        <v>86.6</v>
      </c>
      <c r="BP4" s="14">
        <v>1.03</v>
      </c>
      <c r="BQ4" s="14">
        <v>1.04</v>
      </c>
      <c r="BR4" s="15" t="s">
        <v>83</v>
      </c>
      <c r="BS4" s="14">
        <v>8.9</v>
      </c>
      <c r="BT4" s="14">
        <v>2.4</v>
      </c>
      <c r="BU4" s="14">
        <v>58.5</v>
      </c>
      <c r="BV4" s="14">
        <v>56.3</v>
      </c>
      <c r="BW4" s="14">
        <v>-3.2</v>
      </c>
    </row>
    <row r="5" s="14" customFormat="1" spans="1:75">
      <c r="A5" s="15" t="s">
        <v>84</v>
      </c>
      <c r="B5" s="3" t="s">
        <v>82</v>
      </c>
      <c r="C5" s="7">
        <v>31.2</v>
      </c>
      <c r="D5" s="8">
        <v>38.2</v>
      </c>
      <c r="E5" s="20">
        <v>50</v>
      </c>
      <c r="F5" s="20">
        <v>15.4</v>
      </c>
      <c r="G5" s="20">
        <v>81.5</v>
      </c>
      <c r="H5" s="20">
        <v>33.4</v>
      </c>
      <c r="I5" s="20">
        <v>0.3</v>
      </c>
      <c r="J5" s="20">
        <v>150.6</v>
      </c>
      <c r="K5" s="20">
        <v>47.1</v>
      </c>
      <c r="L5" s="21">
        <v>4.48</v>
      </c>
      <c r="M5" s="21">
        <v>2.7</v>
      </c>
      <c r="N5" s="20">
        <v>70.7</v>
      </c>
      <c r="O5" s="21">
        <v>2.65</v>
      </c>
      <c r="P5" s="21">
        <v>2.06</v>
      </c>
      <c r="Q5" s="21">
        <v>1.71</v>
      </c>
      <c r="R5" s="21">
        <v>0.16</v>
      </c>
      <c r="S5" s="20">
        <v>325.9</v>
      </c>
      <c r="T5" s="20">
        <v>327.6</v>
      </c>
      <c r="U5" s="21">
        <v>4.16</v>
      </c>
      <c r="V5" s="20">
        <v>142.3</v>
      </c>
      <c r="W5" s="20">
        <v>102.3</v>
      </c>
      <c r="X5" s="21">
        <v>48.1</v>
      </c>
      <c r="Y5" s="21">
        <v>0.69</v>
      </c>
      <c r="Z5" s="21">
        <v>0.31</v>
      </c>
      <c r="AA5" s="15" t="s">
        <v>84</v>
      </c>
      <c r="AB5" s="19">
        <v>10.96</v>
      </c>
      <c r="AC5" s="19">
        <v>7.52</v>
      </c>
      <c r="AD5" s="19">
        <v>150</v>
      </c>
      <c r="AE5" s="19">
        <v>47.2</v>
      </c>
      <c r="AF5" s="19">
        <v>62.8</v>
      </c>
      <c r="AG5" s="19">
        <v>19.9</v>
      </c>
      <c r="AH5" s="19">
        <v>318</v>
      </c>
      <c r="AI5" s="19">
        <v>319</v>
      </c>
      <c r="AJ5" s="19">
        <v>40.5</v>
      </c>
      <c r="AK5" s="19">
        <v>19.8</v>
      </c>
      <c r="AL5" s="19">
        <v>9.3</v>
      </c>
      <c r="AM5" s="19">
        <v>8.5</v>
      </c>
      <c r="AN5" s="19">
        <v>15.1</v>
      </c>
      <c r="AO5" s="19">
        <v>0.24</v>
      </c>
      <c r="AP5" s="19">
        <v>0</v>
      </c>
      <c r="AQ5" s="19">
        <v>0</v>
      </c>
      <c r="AR5" s="19">
        <v>2.18</v>
      </c>
      <c r="AS5" s="19">
        <v>7.01</v>
      </c>
      <c r="AT5" s="19">
        <v>1.25</v>
      </c>
      <c r="AU5" s="19">
        <v>0.39</v>
      </c>
      <c r="AV5" s="19">
        <v>0.13</v>
      </c>
      <c r="AW5" s="19">
        <v>19.8</v>
      </c>
      <c r="AX5" s="19">
        <v>64</v>
      </c>
      <c r="AY5" s="19">
        <v>11.4</v>
      </c>
      <c r="AZ5" s="19">
        <v>3.6</v>
      </c>
      <c r="BA5" s="19">
        <v>1.2</v>
      </c>
      <c r="BB5" s="19">
        <v>0.4</v>
      </c>
      <c r="BC5" s="19">
        <v>0.0301</v>
      </c>
      <c r="BD5" s="19">
        <v>8.6</v>
      </c>
      <c r="BE5" s="19">
        <v>91.4</v>
      </c>
      <c r="BF5" s="19">
        <v>5.4</v>
      </c>
      <c r="BG5" s="19">
        <v>3.2</v>
      </c>
      <c r="BH5" s="19">
        <v>19.6</v>
      </c>
      <c r="BI5" s="15" t="s">
        <v>84</v>
      </c>
      <c r="BJ5" s="14">
        <v>12.7</v>
      </c>
      <c r="BK5" s="14">
        <v>20.4</v>
      </c>
      <c r="BL5" s="14">
        <v>21.5</v>
      </c>
      <c r="BM5" s="14">
        <v>12</v>
      </c>
      <c r="BN5" s="14">
        <v>1.31</v>
      </c>
      <c r="BO5" s="14">
        <v>85.3</v>
      </c>
      <c r="BP5" s="14">
        <v>1.04</v>
      </c>
      <c r="BQ5" s="14">
        <v>1.05</v>
      </c>
      <c r="BR5" s="15" t="s">
        <v>84</v>
      </c>
      <c r="BS5" s="14">
        <v>9.2</v>
      </c>
      <c r="BT5" s="14">
        <v>2.4</v>
      </c>
      <c r="BU5" s="14">
        <v>58.4</v>
      </c>
      <c r="BV5" s="14">
        <v>57.1</v>
      </c>
      <c r="BW5" s="14">
        <v>-3.3</v>
      </c>
    </row>
    <row r="6" s="14" customFormat="1" spans="1:75">
      <c r="A6" s="15" t="s">
        <v>85</v>
      </c>
      <c r="B6" s="3" t="s">
        <v>86</v>
      </c>
      <c r="C6" s="7">
        <v>30.3</v>
      </c>
      <c r="D6" s="8">
        <v>38.1</v>
      </c>
      <c r="E6" s="20">
        <v>39.3</v>
      </c>
      <c r="F6" s="20">
        <v>33.6</v>
      </c>
      <c r="G6" s="20">
        <v>70.8</v>
      </c>
      <c r="H6" s="20">
        <v>38.3</v>
      </c>
      <c r="I6" s="20">
        <v>0.4</v>
      </c>
      <c r="J6" s="20">
        <v>81.5</v>
      </c>
      <c r="K6" s="20">
        <v>57.5</v>
      </c>
      <c r="L6" s="21">
        <v>6.77</v>
      </c>
      <c r="M6" s="21">
        <v>1.97</v>
      </c>
      <c r="N6" s="20">
        <v>59.7</v>
      </c>
      <c r="O6" s="21">
        <v>2.54</v>
      </c>
      <c r="P6" s="21">
        <v>2.05</v>
      </c>
      <c r="Q6" s="21">
        <v>1.34</v>
      </c>
      <c r="R6" s="21">
        <v>0.37</v>
      </c>
      <c r="S6" s="20">
        <v>614.7</v>
      </c>
      <c r="T6" s="20">
        <v>560.2</v>
      </c>
      <c r="U6" s="21">
        <v>4.26</v>
      </c>
      <c r="V6" s="20">
        <v>139.1</v>
      </c>
      <c r="W6" s="20">
        <v>100.8</v>
      </c>
      <c r="X6" s="21">
        <v>32.5</v>
      </c>
      <c r="Y6" s="21">
        <v>1.18</v>
      </c>
      <c r="Z6" s="21">
        <v>0.85</v>
      </c>
      <c r="AA6" s="15" t="s">
        <v>85</v>
      </c>
      <c r="AB6" s="19">
        <v>13.33</v>
      </c>
      <c r="AC6" s="19">
        <v>9.01</v>
      </c>
      <c r="AD6" s="19">
        <v>175</v>
      </c>
      <c r="AE6" s="19">
        <v>54.3</v>
      </c>
      <c r="AF6" s="19">
        <v>60.3</v>
      </c>
      <c r="AG6" s="19">
        <v>19.4</v>
      </c>
      <c r="AH6" s="19">
        <v>322</v>
      </c>
      <c r="AI6" s="19">
        <v>294</v>
      </c>
      <c r="AJ6" s="19">
        <v>41.3</v>
      </c>
      <c r="AK6" s="19">
        <v>21.6</v>
      </c>
      <c r="AL6" s="19">
        <v>12.1</v>
      </c>
      <c r="AM6" s="19">
        <v>8.9</v>
      </c>
      <c r="AN6" s="19">
        <v>18.7</v>
      </c>
      <c r="AO6" s="19">
        <v>0.24</v>
      </c>
      <c r="AP6" s="19">
        <v>0</v>
      </c>
      <c r="AQ6" s="19">
        <v>0</v>
      </c>
      <c r="AR6" s="19">
        <v>4.01</v>
      </c>
      <c r="AS6" s="19">
        <v>7.4</v>
      </c>
      <c r="AT6" s="19">
        <v>1.28</v>
      </c>
      <c r="AU6" s="19">
        <v>0.45</v>
      </c>
      <c r="AV6" s="19">
        <v>0.19</v>
      </c>
      <c r="AW6" s="19">
        <v>30.1</v>
      </c>
      <c r="AX6" s="19">
        <v>55.5</v>
      </c>
      <c r="AY6" s="19">
        <v>9.6</v>
      </c>
      <c r="AZ6" s="19">
        <v>3.4</v>
      </c>
      <c r="BA6" s="19">
        <v>1.4</v>
      </c>
      <c r="BB6" s="19">
        <v>0.49</v>
      </c>
      <c r="BC6" s="19">
        <v>0.0441</v>
      </c>
      <c r="BD6" s="19">
        <v>9.3</v>
      </c>
      <c r="BE6" s="19">
        <v>90.7</v>
      </c>
      <c r="BF6" s="19">
        <v>2.5</v>
      </c>
      <c r="BG6" s="19">
        <v>6.8</v>
      </c>
      <c r="BH6" s="19">
        <v>19</v>
      </c>
      <c r="BI6" s="15" t="s">
        <v>85</v>
      </c>
      <c r="BJ6" s="14">
        <v>7.5</v>
      </c>
      <c r="BK6" s="14">
        <v>16.8</v>
      </c>
      <c r="BL6" s="14">
        <v>20.1</v>
      </c>
      <c r="BM6" s="14">
        <v>12.6</v>
      </c>
      <c r="BN6" s="14">
        <v>2.38</v>
      </c>
      <c r="BO6" s="14">
        <v>78.2</v>
      </c>
      <c r="BP6" s="14">
        <v>1.1</v>
      </c>
      <c r="BQ6" s="14">
        <v>1.1</v>
      </c>
      <c r="BR6" s="15" t="s">
        <v>85</v>
      </c>
      <c r="BS6" s="14">
        <v>4.2</v>
      </c>
      <c r="BT6" s="14">
        <v>1.2</v>
      </c>
      <c r="BU6" s="14">
        <v>75.3</v>
      </c>
      <c r="BV6" s="14">
        <v>72.5</v>
      </c>
      <c r="BW6" s="14">
        <v>3.6</v>
      </c>
    </row>
    <row r="7" s="14" customFormat="1" spans="1:75">
      <c r="A7" s="15" t="s">
        <v>87</v>
      </c>
      <c r="B7" s="3" t="s">
        <v>86</v>
      </c>
      <c r="C7" s="7">
        <v>36.55</v>
      </c>
      <c r="D7" s="8">
        <v>38</v>
      </c>
      <c r="E7" s="20">
        <v>36.6</v>
      </c>
      <c r="F7" s="20">
        <v>16</v>
      </c>
      <c r="G7" s="20">
        <v>81.3</v>
      </c>
      <c r="H7" s="20">
        <v>37.7</v>
      </c>
      <c r="I7" s="20">
        <v>0.2</v>
      </c>
      <c r="J7" s="20">
        <v>94.5</v>
      </c>
      <c r="K7" s="20">
        <v>65.2</v>
      </c>
      <c r="L7" s="21">
        <v>5.57</v>
      </c>
      <c r="M7" s="21">
        <v>2.2</v>
      </c>
      <c r="N7" s="20">
        <v>85.3</v>
      </c>
      <c r="O7" s="21">
        <v>2.75</v>
      </c>
      <c r="P7" s="21">
        <v>2.12</v>
      </c>
      <c r="Q7" s="21">
        <v>1.41</v>
      </c>
      <c r="R7" s="21">
        <v>0.24</v>
      </c>
      <c r="S7" s="20">
        <v>593.7</v>
      </c>
      <c r="T7" s="20">
        <v>326.4</v>
      </c>
      <c r="U7" s="21">
        <v>3.81</v>
      </c>
      <c r="V7" s="20">
        <v>141.6</v>
      </c>
      <c r="W7" s="20">
        <v>102.7</v>
      </c>
      <c r="X7" s="21">
        <v>43.6</v>
      </c>
      <c r="Y7" s="21">
        <v>0.86</v>
      </c>
      <c r="Z7" s="21">
        <v>0.44</v>
      </c>
      <c r="AA7" s="15" t="s">
        <v>87</v>
      </c>
      <c r="AB7" s="19">
        <v>14.37</v>
      </c>
      <c r="AC7" s="19">
        <v>7.62</v>
      </c>
      <c r="AD7" s="19">
        <v>147</v>
      </c>
      <c r="AE7" s="19">
        <v>46.2</v>
      </c>
      <c r="AF7" s="19">
        <v>60.6</v>
      </c>
      <c r="AG7" s="19">
        <v>19.3</v>
      </c>
      <c r="AH7" s="19">
        <v>318</v>
      </c>
      <c r="AI7" s="19">
        <v>467</v>
      </c>
      <c r="AJ7" s="19">
        <v>37.8</v>
      </c>
      <c r="AK7" s="19">
        <v>19</v>
      </c>
      <c r="AL7" s="19">
        <v>9.9</v>
      </c>
      <c r="AM7" s="19">
        <v>9.5</v>
      </c>
      <c r="AN7" s="19">
        <v>25.7</v>
      </c>
      <c r="AO7" s="19">
        <v>0.36</v>
      </c>
      <c r="AP7" s="19">
        <v>0</v>
      </c>
      <c r="AQ7" s="19">
        <v>0</v>
      </c>
      <c r="AR7" s="19">
        <v>3.06</v>
      </c>
      <c r="AS7" s="19">
        <v>8.98</v>
      </c>
      <c r="AT7" s="19">
        <v>1.81</v>
      </c>
      <c r="AU7" s="19">
        <v>0.44</v>
      </c>
      <c r="AV7" s="19">
        <v>0.08</v>
      </c>
      <c r="AW7" s="19">
        <v>21.2</v>
      </c>
      <c r="AX7" s="19">
        <v>62.5</v>
      </c>
      <c r="AY7" s="19">
        <v>12.6</v>
      </c>
      <c r="AZ7" s="19">
        <v>3.1</v>
      </c>
      <c r="BA7" s="19">
        <v>0.6</v>
      </c>
      <c r="BB7" s="19">
        <v>0.95</v>
      </c>
      <c r="BC7" s="19">
        <v>0.0724</v>
      </c>
      <c r="BD7" s="19">
        <v>8.3</v>
      </c>
      <c r="BE7" s="19">
        <v>91.7</v>
      </c>
      <c r="BF7" s="19">
        <v>6.8</v>
      </c>
      <c r="BG7" s="19">
        <v>1.5</v>
      </c>
      <c r="BH7" s="19">
        <v>18.1</v>
      </c>
      <c r="BI7" s="15" t="s">
        <v>87</v>
      </c>
      <c r="BJ7" s="14">
        <v>5.1</v>
      </c>
      <c r="BK7" s="14">
        <v>16.5</v>
      </c>
      <c r="BL7" s="14">
        <v>14.1</v>
      </c>
      <c r="BM7" s="14">
        <v>10.9</v>
      </c>
      <c r="BN7" s="14">
        <v>3.68</v>
      </c>
      <c r="BO7" s="14">
        <v>101.4</v>
      </c>
      <c r="BP7" s="14">
        <v>0.95</v>
      </c>
      <c r="BQ7" s="14">
        <v>0.95</v>
      </c>
      <c r="BR7" s="15" t="s">
        <v>87</v>
      </c>
      <c r="BS7" s="14">
        <v>3.9</v>
      </c>
      <c r="BT7" s="14">
        <v>1.7</v>
      </c>
      <c r="BU7" s="14">
        <v>68.1</v>
      </c>
      <c r="BV7" s="14">
        <v>70.7</v>
      </c>
      <c r="BW7" s="14">
        <v>2.8</v>
      </c>
    </row>
    <row r="8" s="14" customFormat="1" spans="1:75">
      <c r="A8" s="15" t="s">
        <v>88</v>
      </c>
      <c r="B8" s="3" t="s">
        <v>86</v>
      </c>
      <c r="C8" s="7">
        <v>34</v>
      </c>
      <c r="D8" s="8">
        <v>38.2</v>
      </c>
      <c r="E8" s="20">
        <v>54.5</v>
      </c>
      <c r="F8" s="20">
        <v>36</v>
      </c>
      <c r="G8" s="20">
        <v>71.7</v>
      </c>
      <c r="H8" s="20">
        <v>34.1</v>
      </c>
      <c r="I8" s="20">
        <v>0.4</v>
      </c>
      <c r="J8" s="20">
        <v>215.6</v>
      </c>
      <c r="K8" s="20">
        <v>66.6</v>
      </c>
      <c r="L8" s="21">
        <v>4.82</v>
      </c>
      <c r="M8" s="21">
        <v>1.69</v>
      </c>
      <c r="N8" s="20">
        <v>99.4</v>
      </c>
      <c r="O8" s="21">
        <v>2.57</v>
      </c>
      <c r="P8" s="21">
        <v>2.19</v>
      </c>
      <c r="Q8" s="21">
        <v>1.98</v>
      </c>
      <c r="R8" s="21">
        <v>0.12</v>
      </c>
      <c r="S8" s="20">
        <v>687.9</v>
      </c>
      <c r="T8" s="20">
        <v>378.3</v>
      </c>
      <c r="U8" s="21">
        <v>4.15</v>
      </c>
      <c r="V8" s="20">
        <v>141.1</v>
      </c>
      <c r="W8" s="20">
        <v>101.7</v>
      </c>
      <c r="X8" s="21">
        <v>37.6</v>
      </c>
      <c r="Y8" s="21">
        <v>0.91</v>
      </c>
      <c r="Z8" s="21">
        <v>0.66</v>
      </c>
      <c r="AA8" s="15" t="s">
        <v>88</v>
      </c>
      <c r="AB8" s="19">
        <v>13.8</v>
      </c>
      <c r="AC8" s="19">
        <v>8</v>
      </c>
      <c r="AD8" s="19">
        <v>139</v>
      </c>
      <c r="AE8" s="19">
        <v>44.4</v>
      </c>
      <c r="AF8" s="19">
        <v>55.5</v>
      </c>
      <c r="AG8" s="19">
        <v>17.4</v>
      </c>
      <c r="AH8" s="19">
        <v>313</v>
      </c>
      <c r="AI8" s="19">
        <v>367</v>
      </c>
      <c r="AJ8" s="19">
        <v>38.6</v>
      </c>
      <c r="AK8" s="19">
        <v>21.2</v>
      </c>
      <c r="AL8" s="19">
        <v>8.1</v>
      </c>
      <c r="AM8" s="19">
        <v>8.7</v>
      </c>
      <c r="AN8" s="19">
        <v>16</v>
      </c>
      <c r="AO8" s="19">
        <v>0.18</v>
      </c>
      <c r="AP8" s="19">
        <v>0.01</v>
      </c>
      <c r="AQ8" s="19">
        <v>0.1</v>
      </c>
      <c r="AR8" s="19">
        <v>1.8</v>
      </c>
      <c r="AS8" s="19">
        <v>9.5</v>
      </c>
      <c r="AT8" s="19">
        <v>1.73</v>
      </c>
      <c r="AU8" s="19">
        <v>0.61</v>
      </c>
      <c r="AV8" s="19">
        <v>0.16</v>
      </c>
      <c r="AW8" s="19">
        <v>13.1</v>
      </c>
      <c r="AX8" s="19">
        <v>68.8</v>
      </c>
      <c r="AY8" s="19">
        <v>12.5</v>
      </c>
      <c r="AZ8" s="19">
        <v>4.4</v>
      </c>
      <c r="BA8" s="19">
        <v>1.2</v>
      </c>
      <c r="BB8" s="19">
        <v>0.59</v>
      </c>
      <c r="BC8" s="19">
        <v>0.0472</v>
      </c>
      <c r="BD8" s="19">
        <v>9.1</v>
      </c>
      <c r="BE8" s="19">
        <v>90.9</v>
      </c>
      <c r="BF8" s="19">
        <v>5.7</v>
      </c>
      <c r="BG8" s="19">
        <v>3.4</v>
      </c>
      <c r="BH8" s="19">
        <v>17.4</v>
      </c>
      <c r="BI8" s="15" t="s">
        <v>88</v>
      </c>
      <c r="BJ8" s="14">
        <v>9.2</v>
      </c>
      <c r="BK8" s="14">
        <v>17</v>
      </c>
      <c r="BL8" s="14">
        <v>22.5</v>
      </c>
      <c r="BM8" s="14">
        <v>12</v>
      </c>
      <c r="BN8" s="14">
        <v>1.88</v>
      </c>
      <c r="BO8" s="14">
        <v>85.3</v>
      </c>
      <c r="BP8" s="14">
        <v>1.04</v>
      </c>
      <c r="BQ8" s="14">
        <v>1.05</v>
      </c>
      <c r="BR8" s="15" t="s">
        <v>88</v>
      </c>
      <c r="BS8" s="14">
        <v>5.8</v>
      </c>
      <c r="BT8" s="14">
        <v>1.5</v>
      </c>
      <c r="BU8" s="14">
        <v>70.3</v>
      </c>
      <c r="BV8" s="14">
        <v>66.6</v>
      </c>
      <c r="BW8" s="14">
        <v>1.3</v>
      </c>
    </row>
    <row r="9" s="14" customFormat="1" spans="1:75">
      <c r="A9" s="15" t="s">
        <v>89</v>
      </c>
      <c r="B9" s="3" t="s">
        <v>86</v>
      </c>
      <c r="C9" s="7">
        <v>34.1</v>
      </c>
      <c r="D9" s="8">
        <v>38.2</v>
      </c>
      <c r="E9" s="20">
        <v>46</v>
      </c>
      <c r="F9" s="20">
        <v>20.7</v>
      </c>
      <c r="G9" s="20">
        <v>82.1</v>
      </c>
      <c r="H9" s="20">
        <v>38.9</v>
      </c>
      <c r="I9" s="20">
        <v>0.2</v>
      </c>
      <c r="J9" s="20">
        <v>141.2</v>
      </c>
      <c r="K9" s="20">
        <v>76</v>
      </c>
      <c r="L9" s="21">
        <v>5.31</v>
      </c>
      <c r="M9" s="21">
        <v>2.07</v>
      </c>
      <c r="N9" s="20">
        <v>77.3</v>
      </c>
      <c r="O9" s="21">
        <v>2.71</v>
      </c>
      <c r="P9" s="21">
        <v>2.45</v>
      </c>
      <c r="Q9" s="21">
        <v>1.58</v>
      </c>
      <c r="R9" s="21">
        <v>0.23</v>
      </c>
      <c r="S9" s="20">
        <v>761.8</v>
      </c>
      <c r="T9" s="20">
        <v>429</v>
      </c>
      <c r="U9" s="21">
        <v>4.51</v>
      </c>
      <c r="V9" s="20">
        <v>140.9</v>
      </c>
      <c r="W9" s="20">
        <v>102.9</v>
      </c>
      <c r="X9" s="21">
        <v>43.2</v>
      </c>
      <c r="Y9" s="21">
        <v>0.9</v>
      </c>
      <c r="Z9" s="21">
        <v>0.45</v>
      </c>
      <c r="AA9" s="15" t="s">
        <v>89</v>
      </c>
      <c r="AB9" s="19">
        <v>13.69</v>
      </c>
      <c r="AC9" s="19">
        <v>8.63</v>
      </c>
      <c r="AD9" s="19">
        <v>164</v>
      </c>
      <c r="AE9" s="19">
        <v>52.4</v>
      </c>
      <c r="AF9" s="19">
        <v>60.7</v>
      </c>
      <c r="AG9" s="19">
        <v>19</v>
      </c>
      <c r="AH9" s="19">
        <v>313</v>
      </c>
      <c r="AI9" s="19">
        <v>495</v>
      </c>
      <c r="AJ9" s="19">
        <v>41.6</v>
      </c>
      <c r="AK9" s="19">
        <v>20.9</v>
      </c>
      <c r="AL9" s="19">
        <v>9.5</v>
      </c>
      <c r="AM9" s="19">
        <v>8.2</v>
      </c>
      <c r="AN9" s="19">
        <v>12.9</v>
      </c>
      <c r="AO9" s="19">
        <v>0.38</v>
      </c>
      <c r="AP9" s="19">
        <v>0.02</v>
      </c>
      <c r="AQ9" s="19">
        <v>0.1</v>
      </c>
      <c r="AR9" s="19">
        <v>1.52</v>
      </c>
      <c r="AS9" s="19">
        <v>10.18</v>
      </c>
      <c r="AT9" s="19">
        <v>1.57</v>
      </c>
      <c r="AU9" s="19">
        <v>0.23</v>
      </c>
      <c r="AV9" s="19">
        <v>0.19</v>
      </c>
      <c r="AW9" s="19">
        <v>11</v>
      </c>
      <c r="AX9" s="19">
        <v>74.4</v>
      </c>
      <c r="AY9" s="19">
        <v>11.5</v>
      </c>
      <c r="AZ9" s="19">
        <v>1.7</v>
      </c>
      <c r="BA9" s="19">
        <v>1.4</v>
      </c>
      <c r="BB9" s="19">
        <v>1.22</v>
      </c>
      <c r="BC9" s="19">
        <v>0.1053</v>
      </c>
      <c r="BD9" s="19">
        <v>10.3</v>
      </c>
      <c r="BE9" s="19">
        <v>89.7</v>
      </c>
      <c r="BF9" s="19">
        <v>8.4</v>
      </c>
      <c r="BG9" s="19">
        <v>1.9</v>
      </c>
      <c r="BH9" s="19">
        <v>19.2</v>
      </c>
      <c r="BI9" s="15" t="s">
        <v>89</v>
      </c>
      <c r="BJ9" s="14">
        <v>7.2</v>
      </c>
      <c r="BK9" s="14">
        <v>18.2</v>
      </c>
      <c r="BL9" s="14">
        <v>22.3</v>
      </c>
      <c r="BM9" s="14">
        <v>14.4</v>
      </c>
      <c r="BN9" s="14">
        <v>2.49</v>
      </c>
      <c r="BO9" s="14">
        <v>61.5</v>
      </c>
      <c r="BP9" s="14">
        <v>1.25</v>
      </c>
      <c r="BQ9" s="14">
        <v>1.27</v>
      </c>
      <c r="BR9" s="15" t="s">
        <v>89</v>
      </c>
      <c r="BS9" s="14">
        <v>3.9</v>
      </c>
      <c r="BT9" s="14">
        <v>1</v>
      </c>
      <c r="BU9" s="14">
        <v>75.9</v>
      </c>
      <c r="BV9" s="14">
        <v>69.5</v>
      </c>
      <c r="BW9" s="14">
        <v>3.5</v>
      </c>
    </row>
    <row r="10" s="14" customFormat="1" spans="1:75">
      <c r="A10" s="15" t="s">
        <v>90</v>
      </c>
      <c r="B10" s="3" t="s">
        <v>86</v>
      </c>
      <c r="C10" s="7">
        <v>30.6</v>
      </c>
      <c r="D10" s="8">
        <v>38.3</v>
      </c>
      <c r="E10" s="20">
        <v>49.5</v>
      </c>
      <c r="F10" s="20">
        <v>52.5</v>
      </c>
      <c r="G10" s="20">
        <v>76.7</v>
      </c>
      <c r="H10" s="20">
        <v>36.6</v>
      </c>
      <c r="I10" s="20">
        <v>0.6</v>
      </c>
      <c r="J10" s="20">
        <v>186.4</v>
      </c>
      <c r="K10" s="20">
        <v>61.2</v>
      </c>
      <c r="L10" s="21">
        <v>5.92</v>
      </c>
      <c r="M10" s="21">
        <v>4.01</v>
      </c>
      <c r="N10" s="20">
        <v>70.3</v>
      </c>
      <c r="O10" s="21">
        <v>2.56</v>
      </c>
      <c r="P10" s="21">
        <v>1.94</v>
      </c>
      <c r="Q10" s="21">
        <v>1.24</v>
      </c>
      <c r="R10" s="21">
        <v>0.15</v>
      </c>
      <c r="S10" s="20">
        <v>609.4</v>
      </c>
      <c r="T10" s="20">
        <v>506.9</v>
      </c>
      <c r="U10" s="21">
        <v>4</v>
      </c>
      <c r="V10" s="20">
        <v>139.7</v>
      </c>
      <c r="W10" s="20">
        <v>102.1</v>
      </c>
      <c r="X10" s="21">
        <v>40.1</v>
      </c>
      <c r="Y10" s="21">
        <v>0.91</v>
      </c>
      <c r="Z10" s="21">
        <v>1.06</v>
      </c>
      <c r="AA10" s="15" t="s">
        <v>90</v>
      </c>
      <c r="AB10" s="19">
        <v>15.25</v>
      </c>
      <c r="AC10" s="19">
        <v>8.1</v>
      </c>
      <c r="AD10" s="19">
        <v>136</v>
      </c>
      <c r="AE10" s="19">
        <v>43.3</v>
      </c>
      <c r="AF10" s="19">
        <v>53.5</v>
      </c>
      <c r="AG10" s="19">
        <v>16.8</v>
      </c>
      <c r="AH10" s="19">
        <v>314</v>
      </c>
      <c r="AI10" s="19">
        <v>496</v>
      </c>
      <c r="AJ10" s="19">
        <v>38.6</v>
      </c>
      <c r="AK10" s="19">
        <v>22</v>
      </c>
      <c r="AL10" s="19">
        <v>8.4</v>
      </c>
      <c r="AM10" s="19">
        <v>7.8</v>
      </c>
      <c r="AN10" s="19">
        <v>8.2</v>
      </c>
      <c r="AO10" s="19">
        <v>0.36</v>
      </c>
      <c r="AP10" s="19">
        <v>0</v>
      </c>
      <c r="AQ10" s="19">
        <v>0</v>
      </c>
      <c r="AR10" s="19">
        <v>6.73</v>
      </c>
      <c r="AS10" s="19">
        <v>6.43</v>
      </c>
      <c r="AT10" s="19">
        <v>1.72</v>
      </c>
      <c r="AU10" s="19">
        <v>0.27</v>
      </c>
      <c r="AV10" s="19">
        <v>0.1</v>
      </c>
      <c r="AW10" s="19">
        <v>44</v>
      </c>
      <c r="AX10" s="19">
        <v>42.2</v>
      </c>
      <c r="AY10" s="19">
        <v>11.3</v>
      </c>
      <c r="AZ10" s="19">
        <v>1.8</v>
      </c>
      <c r="BA10" s="19">
        <v>0.7</v>
      </c>
      <c r="BB10" s="19">
        <v>0.55</v>
      </c>
      <c r="BC10" s="19">
        <v>0.0446</v>
      </c>
      <c r="BD10" s="19">
        <v>9.4</v>
      </c>
      <c r="BE10" s="19">
        <v>90.6</v>
      </c>
      <c r="BF10" s="19">
        <v>7.8</v>
      </c>
      <c r="BG10" s="19">
        <v>1.6</v>
      </c>
      <c r="BH10" s="19">
        <v>17.6</v>
      </c>
      <c r="BI10" s="15" t="s">
        <v>90</v>
      </c>
      <c r="BJ10" s="14">
        <v>9</v>
      </c>
      <c r="BK10" s="14">
        <v>19.8</v>
      </c>
      <c r="BL10" s="14">
        <v>23.2</v>
      </c>
      <c r="BM10" s="14">
        <v>12.2</v>
      </c>
      <c r="BN10" s="14">
        <v>1.93</v>
      </c>
      <c r="BO10" s="14">
        <v>82.8</v>
      </c>
      <c r="BP10" s="14">
        <v>1.06</v>
      </c>
      <c r="BQ10" s="14">
        <v>1.06</v>
      </c>
      <c r="BR10" s="15" t="s">
        <v>90</v>
      </c>
      <c r="BS10" s="14">
        <v>4.7</v>
      </c>
      <c r="BT10" s="14">
        <v>1.9</v>
      </c>
      <c r="BU10" s="14">
        <v>68.8</v>
      </c>
      <c r="BV10" s="14">
        <v>70.9</v>
      </c>
      <c r="BW10" s="14">
        <v>2.3</v>
      </c>
    </row>
    <row r="11" s="14" customFormat="1" spans="1:75">
      <c r="A11" s="15" t="s">
        <v>91</v>
      </c>
      <c r="B11" s="3" t="s">
        <v>86</v>
      </c>
      <c r="C11" s="7">
        <v>33.5</v>
      </c>
      <c r="D11" s="8">
        <v>38.1</v>
      </c>
      <c r="E11" s="20">
        <v>31.1</v>
      </c>
      <c r="F11" s="20">
        <v>20.7</v>
      </c>
      <c r="G11" s="20">
        <v>70.2</v>
      </c>
      <c r="H11" s="20">
        <v>38.8</v>
      </c>
      <c r="I11" s="20">
        <v>0.9</v>
      </c>
      <c r="J11" s="20">
        <v>111.5</v>
      </c>
      <c r="K11" s="20">
        <v>69.7</v>
      </c>
      <c r="L11" s="21">
        <v>6.01</v>
      </c>
      <c r="M11" s="21">
        <v>2.79</v>
      </c>
      <c r="N11" s="20">
        <v>109.7</v>
      </c>
      <c r="O11" s="21">
        <v>2.63</v>
      </c>
      <c r="P11" s="21">
        <v>1.97</v>
      </c>
      <c r="Q11" s="21">
        <v>1.42</v>
      </c>
      <c r="R11" s="21">
        <v>0.2</v>
      </c>
      <c r="S11" s="20">
        <v>441.5</v>
      </c>
      <c r="T11" s="20">
        <v>320.7</v>
      </c>
      <c r="U11" s="21">
        <v>3.91</v>
      </c>
      <c r="V11" s="20">
        <v>141.5</v>
      </c>
      <c r="W11" s="20">
        <v>103.3</v>
      </c>
      <c r="X11" s="21">
        <v>31.4</v>
      </c>
      <c r="Y11" s="21">
        <v>1.24</v>
      </c>
      <c r="Z11" s="21">
        <v>0.67</v>
      </c>
      <c r="AA11" s="15" t="s">
        <v>91</v>
      </c>
      <c r="AB11" s="19">
        <v>13.15</v>
      </c>
      <c r="AC11" s="19">
        <v>8.76</v>
      </c>
      <c r="AD11" s="19">
        <v>159</v>
      </c>
      <c r="AE11" s="19">
        <v>51.5</v>
      </c>
      <c r="AF11" s="19">
        <v>58.8</v>
      </c>
      <c r="AG11" s="19">
        <v>18.2</v>
      </c>
      <c r="AH11" s="19">
        <v>309</v>
      </c>
      <c r="AI11" s="19">
        <v>491</v>
      </c>
      <c r="AJ11" s="19">
        <v>36</v>
      </c>
      <c r="AK11" s="19">
        <v>19.7</v>
      </c>
      <c r="AL11" s="19">
        <v>8.3</v>
      </c>
      <c r="AM11" s="19">
        <v>7.8</v>
      </c>
      <c r="AN11" s="19">
        <v>9.7</v>
      </c>
      <c r="AO11" s="19">
        <v>0.32</v>
      </c>
      <c r="AP11" s="19">
        <v>0.01</v>
      </c>
      <c r="AQ11" s="19">
        <v>0.1</v>
      </c>
      <c r="AR11" s="19">
        <v>4.76</v>
      </c>
      <c r="AS11" s="19">
        <v>6.69</v>
      </c>
      <c r="AT11" s="19">
        <v>1.26</v>
      </c>
      <c r="AU11" s="19">
        <v>0.36</v>
      </c>
      <c r="AV11" s="19">
        <v>0.08</v>
      </c>
      <c r="AW11" s="19">
        <v>36.2</v>
      </c>
      <c r="AX11" s="19">
        <v>50.9</v>
      </c>
      <c r="AY11" s="19">
        <v>9.6</v>
      </c>
      <c r="AZ11" s="19">
        <v>2.7</v>
      </c>
      <c r="BA11" s="19">
        <v>0.6</v>
      </c>
      <c r="BB11" s="19">
        <v>0.67</v>
      </c>
      <c r="BC11" s="19">
        <v>0.0587</v>
      </c>
      <c r="BD11" s="19">
        <v>4.1</v>
      </c>
      <c r="BE11" s="19">
        <v>95.9</v>
      </c>
      <c r="BF11" s="19">
        <v>3.4</v>
      </c>
      <c r="BG11" s="19">
        <v>0.7</v>
      </c>
      <c r="BH11" s="19">
        <v>18.9</v>
      </c>
      <c r="BI11" s="15" t="s">
        <v>91</v>
      </c>
      <c r="BJ11" s="14">
        <v>8.4</v>
      </c>
      <c r="BK11" s="14">
        <v>21.1</v>
      </c>
      <c r="BL11" s="14">
        <v>23</v>
      </c>
      <c r="BM11" s="14">
        <v>13.2</v>
      </c>
      <c r="BN11" s="14">
        <v>2.09</v>
      </c>
      <c r="BO11" s="14">
        <v>71.9</v>
      </c>
      <c r="BP11" s="14">
        <v>1.15</v>
      </c>
      <c r="BQ11" s="14">
        <v>1.16</v>
      </c>
      <c r="BR11" s="15" t="s">
        <v>91</v>
      </c>
      <c r="BS11" s="14">
        <v>7.1</v>
      </c>
      <c r="BT11" s="14">
        <v>2.4</v>
      </c>
      <c r="BU11" s="14">
        <v>58.1</v>
      </c>
      <c r="BV11" s="14">
        <v>63.4</v>
      </c>
      <c r="BW11" s="14">
        <v>-1.1</v>
      </c>
    </row>
  </sheetData>
  <conditionalFormatting sqref="B3">
    <cfRule type="cellIs" dxfId="0" priority="9" operator="equal">
      <formula>"雄性"</formula>
    </cfRule>
    <cfRule type="cellIs" dxfId="1" priority="10" operator="equal">
      <formula>"雌性"</formula>
    </cfRule>
  </conditionalFormatting>
  <conditionalFormatting sqref="B6">
    <cfRule type="cellIs" dxfId="0" priority="7" operator="equal">
      <formula>"雄性"</formula>
    </cfRule>
    <cfRule type="cellIs" dxfId="1" priority="8" operator="equal">
      <formula>"雌性"</formula>
    </cfRule>
  </conditionalFormatting>
  <conditionalFormatting sqref="B4:B5">
    <cfRule type="cellIs" dxfId="0" priority="5" operator="equal">
      <formula>"雄性"</formula>
    </cfRule>
    <cfRule type="cellIs" dxfId="1" priority="6" operator="equal">
      <formula>"雌性"</formula>
    </cfRule>
  </conditionalFormatting>
  <conditionalFormatting sqref="B7:B11">
    <cfRule type="cellIs" dxfId="0" priority="1" operator="equal">
      <formula>"雄性"</formula>
    </cfRule>
    <cfRule type="cellIs" dxfId="1" priority="2" operator="equal">
      <formula>"雌性"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7"/>
  <sheetViews>
    <sheetView workbookViewId="0">
      <selection activeCell="D1" sqref="B1:B11 D1:E11"/>
    </sheetView>
  </sheetViews>
  <sheetFormatPr defaultColWidth="9.23076923076923" defaultRowHeight="16.8"/>
  <cols>
    <col min="2" max="2" width="13.2884615384615" customWidth="1"/>
  </cols>
  <sheetData>
    <row r="1" s="1" customFormat="1" spans="1:76">
      <c r="D1" s="3" t="s">
        <v>0</v>
      </c>
      <c r="E1" s="3" t="s">
        <v>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94</v>
      </c>
      <c r="M1" s="1" t="s">
        <v>92</v>
      </c>
      <c r="N1" s="1" t="s">
        <v>96</v>
      </c>
      <c r="O1" s="1" t="s">
        <v>95</v>
      </c>
      <c r="P1" s="1" t="s">
        <v>96</v>
      </c>
      <c r="Q1" s="1" t="s">
        <v>96</v>
      </c>
      <c r="R1" s="1" t="s">
        <v>95</v>
      </c>
      <c r="S1" s="1" t="s">
        <v>95</v>
      </c>
      <c r="T1" s="1" t="s">
        <v>92</v>
      </c>
      <c r="U1" s="1" t="s">
        <v>95</v>
      </c>
      <c r="V1" s="1" t="s">
        <v>92</v>
      </c>
      <c r="W1" s="1" t="s">
        <v>92</v>
      </c>
      <c r="X1" s="1" t="s">
        <v>92</v>
      </c>
      <c r="Y1" s="1" t="s">
        <v>92</v>
      </c>
      <c r="Z1" s="1" t="s">
        <v>92</v>
      </c>
      <c r="AA1" s="1" t="s">
        <v>95</v>
      </c>
      <c r="AB1" s="1" t="s">
        <v>95</v>
      </c>
      <c r="AC1" s="1" t="s">
        <v>95</v>
      </c>
      <c r="AD1" s="1" t="s">
        <v>95</v>
      </c>
      <c r="AE1" s="1" t="s">
        <v>95</v>
      </c>
      <c r="AF1" s="1" t="s">
        <v>95</v>
      </c>
      <c r="AG1" s="1" t="s">
        <v>93</v>
      </c>
      <c r="AH1" s="1" t="s">
        <v>95</v>
      </c>
      <c r="AI1" s="1" t="s">
        <v>95</v>
      </c>
      <c r="AJ1" s="1" t="s">
        <v>95</v>
      </c>
      <c r="AK1" s="1" t="s">
        <v>95</v>
      </c>
      <c r="AL1" s="1" t="s">
        <v>97</v>
      </c>
      <c r="AN1" s="4" t="s">
        <v>28</v>
      </c>
      <c r="AO1" s="4" t="s">
        <v>28</v>
      </c>
      <c r="AP1" s="4" t="s">
        <v>29</v>
      </c>
      <c r="AQ1" s="4" t="s">
        <v>29</v>
      </c>
      <c r="AR1" s="4" t="s">
        <v>30</v>
      </c>
      <c r="AS1" s="4" t="s">
        <v>28</v>
      </c>
      <c r="AT1" s="4" t="s">
        <v>28</v>
      </c>
      <c r="AU1" s="5" t="s">
        <v>31</v>
      </c>
      <c r="AV1" s="5" t="s">
        <v>31</v>
      </c>
      <c r="AW1" s="4" t="s">
        <v>30</v>
      </c>
      <c r="AX1" s="5" t="s">
        <v>31</v>
      </c>
      <c r="AY1" s="5" t="s">
        <v>31</v>
      </c>
      <c r="AZ1" s="5" t="s">
        <v>31</v>
      </c>
      <c r="BA1" s="5" t="s">
        <v>31</v>
      </c>
      <c r="BB1" s="4" t="s">
        <v>28</v>
      </c>
      <c r="BC1" s="4" t="s">
        <v>28</v>
      </c>
      <c r="BD1" s="5" t="s">
        <v>31</v>
      </c>
      <c r="BE1" s="4" t="s">
        <v>31</v>
      </c>
      <c r="BF1" s="4" t="s">
        <v>31</v>
      </c>
      <c r="BG1" s="5" t="s">
        <v>29</v>
      </c>
      <c r="BH1" s="5"/>
      <c r="BI1" s="5"/>
      <c r="BK1" s="1" t="s">
        <v>98</v>
      </c>
      <c r="BL1" s="1" t="s">
        <v>98</v>
      </c>
      <c r="BM1" s="1" t="s">
        <v>98</v>
      </c>
      <c r="BN1" s="1" t="s">
        <v>98</v>
      </c>
      <c r="BP1" s="1" t="s">
        <v>99</v>
      </c>
      <c r="BT1" s="1" t="s">
        <v>100</v>
      </c>
      <c r="BU1" s="1" t="s">
        <v>100</v>
      </c>
      <c r="BV1" s="1" t="s">
        <v>101</v>
      </c>
      <c r="BW1" s="1" t="s">
        <v>102</v>
      </c>
    </row>
    <row r="2" s="1" customFormat="1" spans="1:76">
      <c r="A2" s="1" t="s">
        <v>103</v>
      </c>
      <c r="B2" s="3" t="s">
        <v>24</v>
      </c>
      <c r="C2" s="3" t="s">
        <v>25</v>
      </c>
      <c r="D2" s="3" t="s">
        <v>26</v>
      </c>
      <c r="E2" s="3" t="s">
        <v>27</v>
      </c>
      <c r="F2" s="1" t="s">
        <v>104</v>
      </c>
      <c r="G2" s="1" t="s">
        <v>105</v>
      </c>
      <c r="H2" s="1" t="s">
        <v>106</v>
      </c>
      <c r="I2" s="1" t="s">
        <v>107</v>
      </c>
      <c r="J2" s="1" t="s">
        <v>108</v>
      </c>
      <c r="K2" s="1" t="s">
        <v>109</v>
      </c>
      <c r="L2" s="1" t="s">
        <v>110</v>
      </c>
      <c r="M2" s="1" t="s">
        <v>111</v>
      </c>
      <c r="N2" s="1" t="s">
        <v>112</v>
      </c>
      <c r="O2" s="1" t="s">
        <v>113</v>
      </c>
      <c r="P2" s="1" t="s">
        <v>114</v>
      </c>
      <c r="Q2" s="1" t="s">
        <v>115</v>
      </c>
      <c r="R2" s="1" t="s">
        <v>116</v>
      </c>
      <c r="S2" s="1" t="s">
        <v>117</v>
      </c>
      <c r="T2" s="1" t="s">
        <v>118</v>
      </c>
      <c r="U2" s="1" t="s">
        <v>119</v>
      </c>
      <c r="V2" s="1" t="s">
        <v>120</v>
      </c>
      <c r="W2" s="1" t="s">
        <v>121</v>
      </c>
      <c r="X2" s="1" t="s">
        <v>122</v>
      </c>
      <c r="Y2" s="1" t="s">
        <v>123</v>
      </c>
      <c r="Z2" s="1" t="s">
        <v>124</v>
      </c>
      <c r="AA2" s="1" t="s">
        <v>125</v>
      </c>
      <c r="AB2" s="1" t="s">
        <v>126</v>
      </c>
      <c r="AC2" s="1" t="s">
        <v>127</v>
      </c>
      <c r="AD2" s="1" t="s">
        <v>128</v>
      </c>
      <c r="AE2" s="1" t="s">
        <v>129</v>
      </c>
      <c r="AF2" s="1" t="s">
        <v>130</v>
      </c>
      <c r="AG2" s="1" t="s">
        <v>131</v>
      </c>
      <c r="AH2" s="1" t="s">
        <v>132</v>
      </c>
      <c r="AI2" s="1" t="s">
        <v>133</v>
      </c>
      <c r="AJ2" s="1" t="s">
        <v>134</v>
      </c>
      <c r="AK2" s="1" t="s">
        <v>135</v>
      </c>
      <c r="AL2" s="1" t="s">
        <v>136</v>
      </c>
      <c r="AM2" s="3" t="s">
        <v>32</v>
      </c>
      <c r="AN2" s="4" t="s">
        <v>2</v>
      </c>
      <c r="AO2" s="4" t="s">
        <v>3</v>
      </c>
      <c r="AP2" s="4" t="s">
        <v>4</v>
      </c>
      <c r="AQ2" s="4" t="s">
        <v>5</v>
      </c>
      <c r="AR2" s="4" t="s">
        <v>6</v>
      </c>
      <c r="AS2" s="4" t="s">
        <v>7</v>
      </c>
      <c r="AT2" s="4" t="s">
        <v>8</v>
      </c>
      <c r="AU2" s="5" t="s">
        <v>9</v>
      </c>
      <c r="AV2" s="5" t="s">
        <v>10</v>
      </c>
      <c r="AW2" s="4" t="s">
        <v>11</v>
      </c>
      <c r="AX2" s="5" t="s">
        <v>12</v>
      </c>
      <c r="AY2" s="5" t="s">
        <v>13</v>
      </c>
      <c r="AZ2" s="5" t="s">
        <v>14</v>
      </c>
      <c r="BA2" s="5" t="s">
        <v>15</v>
      </c>
      <c r="BB2" s="4" t="s">
        <v>16</v>
      </c>
      <c r="BC2" s="4" t="s">
        <v>17</v>
      </c>
      <c r="BD2" s="5" t="s">
        <v>18</v>
      </c>
      <c r="BE2" s="4" t="s">
        <v>19</v>
      </c>
      <c r="BF2" s="4" t="s">
        <v>20</v>
      </c>
      <c r="BG2" s="5" t="s">
        <v>21</v>
      </c>
      <c r="BH2" s="5" t="s">
        <v>22</v>
      </c>
      <c r="BI2" s="5" t="s">
        <v>23</v>
      </c>
      <c r="BJ2" s="3" t="s">
        <v>66</v>
      </c>
      <c r="BK2" s="1" t="s">
        <v>137</v>
      </c>
      <c r="BL2" s="1" t="s">
        <v>138</v>
      </c>
      <c r="BM2" s="1" t="s">
        <v>139</v>
      </c>
      <c r="BN2" s="1" t="s">
        <v>140</v>
      </c>
      <c r="BO2" s="1" t="s">
        <v>137</v>
      </c>
      <c r="BP2" s="1" t="s">
        <v>140</v>
      </c>
      <c r="BQ2" s="1" t="s">
        <v>141</v>
      </c>
      <c r="BR2" s="1" t="s">
        <v>142</v>
      </c>
      <c r="BS2" s="3" t="s">
        <v>75</v>
      </c>
      <c r="BT2" s="1" t="s">
        <v>143</v>
      </c>
      <c r="BU2" s="1" t="s">
        <v>18</v>
      </c>
      <c r="BV2" s="1" t="s">
        <v>144</v>
      </c>
      <c r="BW2" s="1" t="s">
        <v>145</v>
      </c>
      <c r="BX2" s="1" t="s">
        <v>80</v>
      </c>
    </row>
    <row r="3" s="1" customFormat="1" spans="1:76">
      <c r="A3" s="6">
        <v>1</v>
      </c>
      <c r="B3" s="3" t="s">
        <v>81</v>
      </c>
      <c r="C3" s="3" t="s">
        <v>146</v>
      </c>
      <c r="D3" s="7">
        <v>31.85</v>
      </c>
      <c r="E3" s="8">
        <v>38.5</v>
      </c>
      <c r="F3" s="1">
        <v>14.08</v>
      </c>
      <c r="G3" s="1">
        <v>7.9</v>
      </c>
      <c r="H3" s="1">
        <v>156</v>
      </c>
      <c r="I3" s="1">
        <v>49.7</v>
      </c>
      <c r="J3" s="1">
        <v>62.9</v>
      </c>
      <c r="K3" s="1">
        <v>19.7</v>
      </c>
      <c r="L3" s="1">
        <v>314</v>
      </c>
      <c r="M3" s="1">
        <v>303</v>
      </c>
      <c r="N3" s="1">
        <v>38.3</v>
      </c>
      <c r="O3" s="1">
        <v>19.2</v>
      </c>
      <c r="P3" s="1">
        <v>11.2</v>
      </c>
      <c r="Q3" s="1">
        <v>9.4</v>
      </c>
      <c r="R3" s="1">
        <v>23.8</v>
      </c>
      <c r="S3" s="1">
        <v>0.24</v>
      </c>
      <c r="T3" s="1">
        <v>0.01</v>
      </c>
      <c r="U3" s="1">
        <v>0.1</v>
      </c>
      <c r="V3" s="1">
        <v>2.57</v>
      </c>
      <c r="W3" s="1">
        <v>9.39</v>
      </c>
      <c r="X3" s="1">
        <v>1.32</v>
      </c>
      <c r="Y3" s="1">
        <v>0.49</v>
      </c>
      <c r="Z3" s="1">
        <v>0.31</v>
      </c>
      <c r="AA3" s="1">
        <v>18.2</v>
      </c>
      <c r="AB3" s="1">
        <v>66.7</v>
      </c>
      <c r="AC3" s="1">
        <v>9.4</v>
      </c>
      <c r="AD3" s="1">
        <v>3.5</v>
      </c>
      <c r="AE3" s="1">
        <v>2.2</v>
      </c>
      <c r="AF3" s="1">
        <v>1.42</v>
      </c>
      <c r="AG3" s="1">
        <v>0.1122</v>
      </c>
      <c r="AH3" s="1">
        <v>9.4</v>
      </c>
      <c r="AI3" s="1">
        <v>90.6</v>
      </c>
      <c r="AJ3" s="1">
        <v>8.3</v>
      </c>
      <c r="AK3" s="1">
        <v>1.1</v>
      </c>
      <c r="AL3" s="1">
        <v>19.9</v>
      </c>
      <c r="AM3" s="3" t="s">
        <v>81</v>
      </c>
      <c r="AN3" s="9">
        <v>58.8</v>
      </c>
      <c r="AO3" s="9">
        <v>23.1</v>
      </c>
      <c r="AP3" s="9">
        <v>76.6</v>
      </c>
      <c r="AQ3" s="9">
        <v>36.2</v>
      </c>
      <c r="AR3" s="9">
        <v>0.7</v>
      </c>
      <c r="AS3" s="9">
        <v>99</v>
      </c>
      <c r="AT3" s="9">
        <v>61.1</v>
      </c>
      <c r="AU3" s="10">
        <v>5.8</v>
      </c>
      <c r="AV3" s="10">
        <v>4.08</v>
      </c>
      <c r="AW3" s="9">
        <v>89.1</v>
      </c>
      <c r="AX3" s="10">
        <v>2.67</v>
      </c>
      <c r="AY3" s="10">
        <v>1.95</v>
      </c>
      <c r="AZ3" s="10">
        <v>2.4</v>
      </c>
      <c r="BA3" s="10">
        <v>0.29</v>
      </c>
      <c r="BB3" s="9">
        <v>352.1</v>
      </c>
      <c r="BC3" s="11">
        <v>430.6</v>
      </c>
      <c r="BD3" s="10">
        <v>4.48</v>
      </c>
      <c r="BE3" s="9">
        <v>143.6</v>
      </c>
      <c r="BF3" s="9">
        <v>103.4</v>
      </c>
      <c r="BG3" s="10">
        <v>40.4</v>
      </c>
      <c r="BH3" s="10">
        <v>0.9</v>
      </c>
      <c r="BI3" s="10">
        <v>0.39</v>
      </c>
      <c r="BJ3" s="3" t="s">
        <v>81</v>
      </c>
      <c r="BK3" s="1">
        <v>10.7</v>
      </c>
      <c r="BL3" s="1">
        <v>23.9</v>
      </c>
      <c r="BM3" s="1">
        <v>21.6</v>
      </c>
      <c r="BN3" s="1">
        <v>11.8</v>
      </c>
      <c r="BO3" s="1">
        <v>1.59</v>
      </c>
      <c r="BP3" s="1">
        <v>88</v>
      </c>
      <c r="BQ3" s="1">
        <v>1.03</v>
      </c>
      <c r="BR3" s="1">
        <v>1.03</v>
      </c>
      <c r="BS3" s="3" t="s">
        <v>81</v>
      </c>
      <c r="BT3" s="1">
        <v>8.9</v>
      </c>
      <c r="BU3" s="1">
        <v>2.6</v>
      </c>
      <c r="BV3" s="1">
        <v>56.7</v>
      </c>
      <c r="BW3" s="1">
        <v>55</v>
      </c>
      <c r="BX3" s="1">
        <v>-3.5</v>
      </c>
    </row>
    <row r="4" s="1" customFormat="1" spans="1:76">
      <c r="A4" s="6">
        <v>1</v>
      </c>
      <c r="B4" s="3" t="s">
        <v>85</v>
      </c>
      <c r="C4" s="3" t="s">
        <v>147</v>
      </c>
      <c r="D4" s="7">
        <v>30.3</v>
      </c>
      <c r="E4" s="8">
        <v>38.1</v>
      </c>
      <c r="F4" s="1">
        <v>13.33</v>
      </c>
      <c r="G4" s="1">
        <v>9.01</v>
      </c>
      <c r="H4" s="1">
        <v>175</v>
      </c>
      <c r="I4" s="1">
        <v>54.3</v>
      </c>
      <c r="J4" s="1">
        <v>60.3</v>
      </c>
      <c r="K4" s="1">
        <v>19.4</v>
      </c>
      <c r="L4" s="1">
        <v>322</v>
      </c>
      <c r="M4" s="1">
        <v>294</v>
      </c>
      <c r="N4" s="1">
        <v>41.3</v>
      </c>
      <c r="O4" s="1">
        <v>21.6</v>
      </c>
      <c r="P4" s="1">
        <v>12.1</v>
      </c>
      <c r="Q4" s="1">
        <v>8.9</v>
      </c>
      <c r="R4" s="1">
        <v>18.7</v>
      </c>
      <c r="S4" s="1">
        <v>0.24</v>
      </c>
      <c r="T4" s="1">
        <v>0</v>
      </c>
      <c r="U4" s="1">
        <v>0</v>
      </c>
      <c r="V4" s="1">
        <v>4.01</v>
      </c>
      <c r="W4" s="1">
        <v>7.4</v>
      </c>
      <c r="X4" s="1">
        <v>1.28</v>
      </c>
      <c r="Y4" s="1">
        <v>0.45</v>
      </c>
      <c r="Z4" s="1">
        <v>0.19</v>
      </c>
      <c r="AA4" s="1">
        <v>30.1</v>
      </c>
      <c r="AB4" s="1">
        <v>55.5</v>
      </c>
      <c r="AC4" s="1">
        <v>9.6</v>
      </c>
      <c r="AD4" s="1">
        <v>3.4</v>
      </c>
      <c r="AE4" s="1">
        <v>1.4</v>
      </c>
      <c r="AF4" s="1">
        <v>0.49</v>
      </c>
      <c r="AG4" s="1">
        <v>0.0441</v>
      </c>
      <c r="AH4" s="1">
        <v>9.3</v>
      </c>
      <c r="AI4" s="1">
        <v>90.7</v>
      </c>
      <c r="AJ4" s="1">
        <v>2.5</v>
      </c>
      <c r="AK4" s="1">
        <v>6.8</v>
      </c>
      <c r="AL4" s="1">
        <v>19</v>
      </c>
      <c r="AM4" s="3" t="s">
        <v>85</v>
      </c>
      <c r="AN4" s="9">
        <v>39.3</v>
      </c>
      <c r="AO4" s="9">
        <v>33.6</v>
      </c>
      <c r="AP4" s="9">
        <v>70.8</v>
      </c>
      <c r="AQ4" s="9">
        <v>38.3</v>
      </c>
      <c r="AR4" s="9">
        <v>0.4</v>
      </c>
      <c r="AS4" s="9">
        <v>81.5</v>
      </c>
      <c r="AT4" s="9">
        <v>57.5</v>
      </c>
      <c r="AU4" s="10">
        <v>6.77</v>
      </c>
      <c r="AV4" s="10">
        <v>1.97</v>
      </c>
      <c r="AW4" s="9">
        <v>59.7</v>
      </c>
      <c r="AX4" s="10">
        <v>2.54</v>
      </c>
      <c r="AY4" s="10">
        <v>2.05</v>
      </c>
      <c r="AZ4" s="10">
        <v>1.34</v>
      </c>
      <c r="BA4" s="10">
        <v>0.37</v>
      </c>
      <c r="BB4" s="9">
        <v>614.7</v>
      </c>
      <c r="BC4" s="9">
        <v>560.2</v>
      </c>
      <c r="BD4" s="10">
        <v>4.26</v>
      </c>
      <c r="BE4" s="9">
        <v>139.1</v>
      </c>
      <c r="BF4" s="9">
        <v>100.8</v>
      </c>
      <c r="BG4" s="10">
        <v>32.5</v>
      </c>
      <c r="BH4" s="10">
        <v>1.18</v>
      </c>
      <c r="BI4" s="10">
        <v>0.85</v>
      </c>
      <c r="BJ4" s="3" t="s">
        <v>85</v>
      </c>
      <c r="BK4" s="1">
        <v>7.5</v>
      </c>
      <c r="BL4" s="1">
        <v>16.8</v>
      </c>
      <c r="BM4" s="1">
        <v>20.1</v>
      </c>
      <c r="BN4" s="1">
        <v>12.6</v>
      </c>
      <c r="BO4" s="1">
        <v>2.38</v>
      </c>
      <c r="BP4" s="1">
        <v>78.2</v>
      </c>
      <c r="BQ4" s="1">
        <v>1.1</v>
      </c>
      <c r="BR4" s="1">
        <v>1.1</v>
      </c>
      <c r="BS4" s="3" t="s">
        <v>85</v>
      </c>
      <c r="BT4" s="1">
        <v>4.2</v>
      </c>
      <c r="BU4" s="1">
        <v>1.2</v>
      </c>
      <c r="BV4" s="1">
        <v>75.3</v>
      </c>
      <c r="BW4" s="1">
        <v>72.5</v>
      </c>
      <c r="BX4" s="1">
        <v>3.6</v>
      </c>
    </row>
    <row r="5" s="1" customFormat="1" spans="1:76">
      <c r="A5" s="6">
        <v>1</v>
      </c>
      <c r="B5" s="3" t="s">
        <v>90</v>
      </c>
      <c r="C5" s="3" t="s">
        <v>147</v>
      </c>
      <c r="D5" s="7">
        <v>30.6</v>
      </c>
      <c r="E5" s="8">
        <v>38.3</v>
      </c>
      <c r="F5" s="1">
        <v>15.25</v>
      </c>
      <c r="G5" s="1">
        <v>8.1</v>
      </c>
      <c r="H5" s="1">
        <v>136</v>
      </c>
      <c r="I5" s="1">
        <v>43.3</v>
      </c>
      <c r="J5" s="1">
        <v>53.5</v>
      </c>
      <c r="K5" s="1">
        <v>16.8</v>
      </c>
      <c r="L5" s="1">
        <v>314</v>
      </c>
      <c r="M5" s="1">
        <v>496</v>
      </c>
      <c r="N5" s="1">
        <v>38.6</v>
      </c>
      <c r="O5" s="1">
        <v>22</v>
      </c>
      <c r="P5" s="1">
        <v>8.4</v>
      </c>
      <c r="Q5" s="1">
        <v>7.8</v>
      </c>
      <c r="R5" s="1">
        <v>8.2</v>
      </c>
      <c r="S5" s="1">
        <v>0.36</v>
      </c>
      <c r="T5" s="1">
        <v>0</v>
      </c>
      <c r="U5" s="1">
        <v>0</v>
      </c>
      <c r="V5" s="1">
        <v>6.73</v>
      </c>
      <c r="W5" s="1">
        <v>6.43</v>
      </c>
      <c r="X5" s="1">
        <v>1.72</v>
      </c>
      <c r="Y5" s="1">
        <v>0.27</v>
      </c>
      <c r="Z5" s="1">
        <v>0.1</v>
      </c>
      <c r="AA5" s="1">
        <v>44</v>
      </c>
      <c r="AB5" s="1">
        <v>42.2</v>
      </c>
      <c r="AC5" s="1">
        <v>11.3</v>
      </c>
      <c r="AD5" s="1">
        <v>1.8</v>
      </c>
      <c r="AE5" s="1">
        <v>0.7</v>
      </c>
      <c r="AF5" s="1">
        <v>0.55</v>
      </c>
      <c r="AG5" s="1">
        <v>0.0446</v>
      </c>
      <c r="AH5" s="1">
        <v>9.4</v>
      </c>
      <c r="AI5" s="1">
        <v>90.6</v>
      </c>
      <c r="AJ5" s="1">
        <v>7.8</v>
      </c>
      <c r="AK5" s="1">
        <v>1.6</v>
      </c>
      <c r="AL5" s="1">
        <v>17.6</v>
      </c>
      <c r="AM5" s="3" t="s">
        <v>90</v>
      </c>
      <c r="AN5" s="9">
        <v>49.5</v>
      </c>
      <c r="AO5" s="9">
        <v>52.5</v>
      </c>
      <c r="AP5" s="9">
        <v>76.7</v>
      </c>
      <c r="AQ5" s="9">
        <v>36.6</v>
      </c>
      <c r="AR5" s="9">
        <v>0.6</v>
      </c>
      <c r="AS5" s="9">
        <v>186.4</v>
      </c>
      <c r="AT5" s="9">
        <v>61.2</v>
      </c>
      <c r="AU5" s="10">
        <v>5.92</v>
      </c>
      <c r="AV5" s="10">
        <v>4.01</v>
      </c>
      <c r="AW5" s="9">
        <v>70.3</v>
      </c>
      <c r="AX5" s="10">
        <v>2.56</v>
      </c>
      <c r="AY5" s="10">
        <v>1.94</v>
      </c>
      <c r="AZ5" s="10">
        <v>1.24</v>
      </c>
      <c r="BA5" s="10">
        <v>0.15</v>
      </c>
      <c r="BB5" s="9">
        <v>609.4</v>
      </c>
      <c r="BC5" s="9">
        <v>506.9</v>
      </c>
      <c r="BD5" s="10">
        <v>4</v>
      </c>
      <c r="BE5" s="9">
        <v>139.7</v>
      </c>
      <c r="BF5" s="9">
        <v>102.1</v>
      </c>
      <c r="BG5" s="10">
        <v>40.1</v>
      </c>
      <c r="BH5" s="10">
        <v>0.91</v>
      </c>
      <c r="BI5" s="10">
        <v>1.06</v>
      </c>
      <c r="BJ5" s="3" t="s">
        <v>90</v>
      </c>
      <c r="BK5" s="1">
        <v>9</v>
      </c>
      <c r="BL5" s="1">
        <v>19.8</v>
      </c>
      <c r="BM5" s="1">
        <v>23.2</v>
      </c>
      <c r="BN5" s="1">
        <v>12.2</v>
      </c>
      <c r="BO5" s="1">
        <v>1.93</v>
      </c>
      <c r="BP5" s="1">
        <v>82.8</v>
      </c>
      <c r="BQ5" s="1">
        <v>1.06</v>
      </c>
      <c r="BR5" s="1">
        <v>1.06</v>
      </c>
      <c r="BS5" s="3" t="s">
        <v>90</v>
      </c>
      <c r="BT5" s="1">
        <v>4.7</v>
      </c>
      <c r="BU5" s="1">
        <v>1.9</v>
      </c>
      <c r="BV5" s="1">
        <v>68.8</v>
      </c>
      <c r="BW5" s="1">
        <v>70.9</v>
      </c>
      <c r="BX5" s="1">
        <v>2.3</v>
      </c>
    </row>
    <row r="6" s="1" customFormat="1" spans="1:76">
      <c r="A6" s="6">
        <v>2</v>
      </c>
      <c r="B6" s="3" t="s">
        <v>83</v>
      </c>
      <c r="C6" s="3" t="s">
        <v>146</v>
      </c>
      <c r="D6" s="7">
        <v>30.45</v>
      </c>
      <c r="E6" s="8">
        <v>38.5</v>
      </c>
      <c r="F6" s="1">
        <v>14.5</v>
      </c>
      <c r="G6" s="1">
        <v>8.85</v>
      </c>
      <c r="H6" s="1">
        <v>153</v>
      </c>
      <c r="I6" s="1">
        <v>47.7</v>
      </c>
      <c r="J6" s="1">
        <v>53.9</v>
      </c>
      <c r="K6" s="1">
        <v>17.3</v>
      </c>
      <c r="L6" s="1">
        <v>321</v>
      </c>
      <c r="M6" s="1">
        <v>339</v>
      </c>
      <c r="N6" s="1">
        <v>37.9</v>
      </c>
      <c r="O6" s="1">
        <v>22.1</v>
      </c>
      <c r="P6" s="1">
        <v>9.2</v>
      </c>
      <c r="Q6" s="1">
        <v>8.1</v>
      </c>
      <c r="R6" s="1">
        <v>9.8</v>
      </c>
      <c r="S6" s="1">
        <v>0.22</v>
      </c>
      <c r="T6" s="1">
        <v>0</v>
      </c>
      <c r="U6" s="1">
        <v>0</v>
      </c>
      <c r="V6" s="1">
        <v>1.72</v>
      </c>
      <c r="W6" s="1">
        <v>9.58</v>
      </c>
      <c r="X6" s="1">
        <v>1.88</v>
      </c>
      <c r="Y6" s="1">
        <v>0.95</v>
      </c>
      <c r="Z6" s="1">
        <v>0.37</v>
      </c>
      <c r="AA6" s="1">
        <v>11.7</v>
      </c>
      <c r="AB6" s="1">
        <v>66.1</v>
      </c>
      <c r="AC6" s="1">
        <v>13</v>
      </c>
      <c r="AD6" s="1">
        <v>6.6</v>
      </c>
      <c r="AE6" s="1">
        <v>2.6</v>
      </c>
      <c r="AF6" s="1">
        <v>0.52</v>
      </c>
      <c r="AG6" s="1">
        <v>0.046</v>
      </c>
      <c r="AH6" s="1">
        <v>10.6</v>
      </c>
      <c r="AI6" s="1">
        <v>89.4</v>
      </c>
      <c r="AJ6" s="1">
        <v>3.9</v>
      </c>
      <c r="AK6" s="1">
        <v>6.7</v>
      </c>
      <c r="AL6" s="1">
        <v>17.4</v>
      </c>
      <c r="AM6" s="3" t="s">
        <v>83</v>
      </c>
      <c r="AN6" s="9">
        <v>42.2</v>
      </c>
      <c r="AO6" s="9">
        <v>17.2</v>
      </c>
      <c r="AP6" s="9">
        <v>75.4</v>
      </c>
      <c r="AQ6" s="9">
        <v>34.4</v>
      </c>
      <c r="AR6" s="9">
        <v>0.5</v>
      </c>
      <c r="AS6" s="9">
        <v>84.4</v>
      </c>
      <c r="AT6" s="9">
        <v>48.8</v>
      </c>
      <c r="AU6" s="10">
        <v>6.42</v>
      </c>
      <c r="AV6" s="10">
        <v>1.95</v>
      </c>
      <c r="AW6" s="9">
        <v>73.7</v>
      </c>
      <c r="AX6" s="10">
        <v>2.56</v>
      </c>
      <c r="AY6" s="10">
        <v>2.11</v>
      </c>
      <c r="AZ6" s="10">
        <v>1.59</v>
      </c>
      <c r="BA6" s="10">
        <v>0.3</v>
      </c>
      <c r="BB6" s="9">
        <v>607.9</v>
      </c>
      <c r="BC6" s="9">
        <v>395.3</v>
      </c>
      <c r="BD6" s="10">
        <v>4.34</v>
      </c>
      <c r="BE6" s="9">
        <v>139.1</v>
      </c>
      <c r="BF6" s="9">
        <v>101.9</v>
      </c>
      <c r="BG6" s="10">
        <v>41</v>
      </c>
      <c r="BH6" s="10">
        <v>0.84</v>
      </c>
      <c r="BI6" s="10">
        <v>0.41</v>
      </c>
      <c r="BJ6" s="3" t="s">
        <v>83</v>
      </c>
      <c r="BK6" s="1">
        <v>11</v>
      </c>
      <c r="BL6" s="1">
        <v>21</v>
      </c>
      <c r="BM6" s="1">
        <v>19.7</v>
      </c>
      <c r="BN6" s="1">
        <v>11.9</v>
      </c>
      <c r="BO6" s="1">
        <v>1.54</v>
      </c>
      <c r="BP6" s="1">
        <v>86.6</v>
      </c>
      <c r="BQ6" s="1">
        <v>1.03</v>
      </c>
      <c r="BR6" s="1">
        <v>1.04</v>
      </c>
      <c r="BS6" s="3" t="s">
        <v>83</v>
      </c>
      <c r="BT6" s="1">
        <v>8.9</v>
      </c>
      <c r="BU6" s="1">
        <v>2.4</v>
      </c>
      <c r="BV6" s="1">
        <v>58.5</v>
      </c>
      <c r="BW6" s="1">
        <v>56.3</v>
      </c>
      <c r="BX6" s="1">
        <v>-3.2</v>
      </c>
    </row>
    <row r="7" s="1" customFormat="1" spans="1:76">
      <c r="A7" s="6">
        <v>2</v>
      </c>
      <c r="B7" s="3" t="s">
        <v>87</v>
      </c>
      <c r="C7" s="3" t="s">
        <v>147</v>
      </c>
      <c r="D7" s="7">
        <v>36.55</v>
      </c>
      <c r="E7" s="8">
        <v>38</v>
      </c>
      <c r="F7" s="1">
        <v>14.37</v>
      </c>
      <c r="G7" s="1">
        <v>7.62</v>
      </c>
      <c r="H7" s="1">
        <v>147</v>
      </c>
      <c r="I7" s="1">
        <v>46.2</v>
      </c>
      <c r="J7" s="1">
        <v>60.6</v>
      </c>
      <c r="K7" s="1">
        <v>19.3</v>
      </c>
      <c r="L7" s="1">
        <v>318</v>
      </c>
      <c r="M7" s="1">
        <v>467</v>
      </c>
      <c r="N7" s="1">
        <v>37.8</v>
      </c>
      <c r="O7" s="1">
        <v>19</v>
      </c>
      <c r="P7" s="1">
        <v>9.9</v>
      </c>
      <c r="Q7" s="1">
        <v>9.5</v>
      </c>
      <c r="R7" s="1">
        <v>25.7</v>
      </c>
      <c r="S7" s="1">
        <v>0.36</v>
      </c>
      <c r="T7" s="1">
        <v>0</v>
      </c>
      <c r="U7" s="1">
        <v>0</v>
      </c>
      <c r="V7" s="1">
        <v>3.06</v>
      </c>
      <c r="W7" s="1">
        <v>8.98</v>
      </c>
      <c r="X7" s="1">
        <v>1.81</v>
      </c>
      <c r="Y7" s="1">
        <v>0.44</v>
      </c>
      <c r="Z7" s="1">
        <v>0.08</v>
      </c>
      <c r="AA7" s="1">
        <v>21.2</v>
      </c>
      <c r="AB7" s="1">
        <v>62.5</v>
      </c>
      <c r="AC7" s="1">
        <v>12.6</v>
      </c>
      <c r="AD7" s="1">
        <v>3.1</v>
      </c>
      <c r="AE7" s="1">
        <v>0.6</v>
      </c>
      <c r="AF7" s="1">
        <v>0.95</v>
      </c>
      <c r="AG7" s="1">
        <v>0.0724</v>
      </c>
      <c r="AH7" s="1">
        <v>8.3</v>
      </c>
      <c r="AI7" s="1">
        <v>91.7</v>
      </c>
      <c r="AJ7" s="1">
        <v>6.8</v>
      </c>
      <c r="AK7" s="1">
        <v>1.5</v>
      </c>
      <c r="AL7" s="1">
        <v>18.1</v>
      </c>
      <c r="AM7" s="3" t="s">
        <v>87</v>
      </c>
      <c r="AN7" s="9">
        <v>36.6</v>
      </c>
      <c r="AO7" s="9">
        <v>16</v>
      </c>
      <c r="AP7" s="9">
        <v>81.3</v>
      </c>
      <c r="AQ7" s="9">
        <v>37.7</v>
      </c>
      <c r="AR7" s="9">
        <v>0.2</v>
      </c>
      <c r="AS7" s="9">
        <v>94.5</v>
      </c>
      <c r="AT7" s="9">
        <v>65.2</v>
      </c>
      <c r="AU7" s="10">
        <v>5.57</v>
      </c>
      <c r="AV7" s="10">
        <v>2.2</v>
      </c>
      <c r="AW7" s="9">
        <v>85.3</v>
      </c>
      <c r="AX7" s="10">
        <v>2.75</v>
      </c>
      <c r="AY7" s="10">
        <v>2.12</v>
      </c>
      <c r="AZ7" s="10">
        <v>1.41</v>
      </c>
      <c r="BA7" s="10">
        <v>0.24</v>
      </c>
      <c r="BB7" s="9">
        <v>593.7</v>
      </c>
      <c r="BC7" s="9">
        <v>326.4</v>
      </c>
      <c r="BD7" s="10">
        <v>3.81</v>
      </c>
      <c r="BE7" s="9">
        <v>141.6</v>
      </c>
      <c r="BF7" s="9">
        <v>102.7</v>
      </c>
      <c r="BG7" s="10">
        <v>43.6</v>
      </c>
      <c r="BH7" s="10">
        <v>0.86</v>
      </c>
      <c r="BI7" s="10">
        <v>0.44</v>
      </c>
      <c r="BJ7" s="3" t="s">
        <v>87</v>
      </c>
      <c r="BK7" s="1">
        <v>5.1</v>
      </c>
      <c r="BL7" s="1">
        <v>16.5</v>
      </c>
      <c r="BM7" s="1">
        <v>14.1</v>
      </c>
      <c r="BN7" s="1">
        <v>10.9</v>
      </c>
      <c r="BO7" s="1">
        <v>3.68</v>
      </c>
      <c r="BP7" s="1">
        <v>101.4</v>
      </c>
      <c r="BQ7" s="1">
        <v>0.95</v>
      </c>
      <c r="BR7" s="1">
        <v>0.95</v>
      </c>
      <c r="BS7" s="3" t="s">
        <v>87</v>
      </c>
      <c r="BT7" s="1">
        <v>3.9</v>
      </c>
      <c r="BU7" s="1">
        <v>1.7</v>
      </c>
      <c r="BV7" s="1">
        <v>68.1</v>
      </c>
      <c r="BW7" s="1">
        <v>70.7</v>
      </c>
      <c r="BX7" s="1">
        <v>2.8</v>
      </c>
    </row>
    <row r="8" s="1" customFormat="1" spans="1:76">
      <c r="A8" s="6">
        <v>2</v>
      </c>
      <c r="B8" s="3" t="s">
        <v>89</v>
      </c>
      <c r="C8" s="3" t="s">
        <v>147</v>
      </c>
      <c r="D8" s="7">
        <v>34.1</v>
      </c>
      <c r="E8" s="8">
        <v>38.2</v>
      </c>
      <c r="F8" s="1">
        <v>13.69</v>
      </c>
      <c r="G8" s="1">
        <v>8.63</v>
      </c>
      <c r="H8" s="1">
        <v>164</v>
      </c>
      <c r="I8" s="1">
        <v>52.4</v>
      </c>
      <c r="J8" s="1">
        <v>60.7</v>
      </c>
      <c r="K8" s="1">
        <v>19</v>
      </c>
      <c r="L8" s="1">
        <v>313</v>
      </c>
      <c r="M8" s="1">
        <v>495</v>
      </c>
      <c r="N8" s="1">
        <v>41.6</v>
      </c>
      <c r="O8" s="1">
        <v>20.9</v>
      </c>
      <c r="P8" s="1">
        <v>9.5</v>
      </c>
      <c r="Q8" s="1">
        <v>8.2</v>
      </c>
      <c r="R8" s="1">
        <v>12.9</v>
      </c>
      <c r="S8" s="1">
        <v>0.38</v>
      </c>
      <c r="T8" s="1">
        <v>0.02</v>
      </c>
      <c r="U8" s="1">
        <v>0.1</v>
      </c>
      <c r="V8" s="1">
        <v>1.52</v>
      </c>
      <c r="W8" s="1">
        <v>10.18</v>
      </c>
      <c r="X8" s="1">
        <v>1.57</v>
      </c>
      <c r="Y8" s="1">
        <v>0.23</v>
      </c>
      <c r="Z8" s="1">
        <v>0.19</v>
      </c>
      <c r="AA8" s="1">
        <v>11</v>
      </c>
      <c r="AB8" s="1">
        <v>74.4</v>
      </c>
      <c r="AC8" s="1">
        <v>11.5</v>
      </c>
      <c r="AD8" s="1">
        <v>1.7</v>
      </c>
      <c r="AE8" s="1">
        <v>1.4</v>
      </c>
      <c r="AF8" s="1">
        <v>1.22</v>
      </c>
      <c r="AG8" s="1">
        <v>0.1053</v>
      </c>
      <c r="AH8" s="1">
        <v>10.3</v>
      </c>
      <c r="AI8" s="1">
        <v>89.7</v>
      </c>
      <c r="AJ8" s="1">
        <v>8.4</v>
      </c>
      <c r="AK8" s="1">
        <v>1.9</v>
      </c>
      <c r="AL8" s="1">
        <v>19.2</v>
      </c>
      <c r="AM8" s="3" t="s">
        <v>89</v>
      </c>
      <c r="AN8" s="9">
        <v>46</v>
      </c>
      <c r="AO8" s="9">
        <v>20.7</v>
      </c>
      <c r="AP8" s="9">
        <v>82.1</v>
      </c>
      <c r="AQ8" s="9">
        <v>38.9</v>
      </c>
      <c r="AR8" s="9">
        <v>0.2</v>
      </c>
      <c r="AS8" s="9">
        <v>141.2</v>
      </c>
      <c r="AT8" s="9">
        <v>76</v>
      </c>
      <c r="AU8" s="10">
        <v>5.31</v>
      </c>
      <c r="AV8" s="10">
        <v>2.07</v>
      </c>
      <c r="AW8" s="9">
        <v>77.3</v>
      </c>
      <c r="AX8" s="10">
        <v>2.71</v>
      </c>
      <c r="AY8" s="10">
        <v>2.45</v>
      </c>
      <c r="AZ8" s="10">
        <v>1.58</v>
      </c>
      <c r="BA8" s="10">
        <v>0.23</v>
      </c>
      <c r="BB8" s="9">
        <v>761.8</v>
      </c>
      <c r="BC8" s="9">
        <v>429</v>
      </c>
      <c r="BD8" s="10">
        <v>4.51</v>
      </c>
      <c r="BE8" s="9">
        <v>140.9</v>
      </c>
      <c r="BF8" s="9">
        <v>102.9</v>
      </c>
      <c r="BG8" s="10">
        <v>43.2</v>
      </c>
      <c r="BH8" s="10">
        <v>0.9</v>
      </c>
      <c r="BI8" s="10">
        <v>0.45</v>
      </c>
      <c r="BJ8" s="3" t="s">
        <v>89</v>
      </c>
      <c r="BK8" s="1">
        <v>7.2</v>
      </c>
      <c r="BL8" s="1">
        <v>18.2</v>
      </c>
      <c r="BM8" s="1">
        <v>22.3</v>
      </c>
      <c r="BN8" s="1">
        <v>14.4</v>
      </c>
      <c r="BO8" s="1">
        <v>2.49</v>
      </c>
      <c r="BP8" s="1">
        <v>61.5</v>
      </c>
      <c r="BQ8" s="1">
        <v>1.25</v>
      </c>
      <c r="BR8" s="1">
        <v>1.27</v>
      </c>
      <c r="BS8" s="3" t="s">
        <v>89</v>
      </c>
      <c r="BT8" s="1">
        <v>3.9</v>
      </c>
      <c r="BU8" s="1">
        <v>1</v>
      </c>
      <c r="BV8" s="1">
        <v>75.9</v>
      </c>
      <c r="BW8" s="1">
        <v>69.5</v>
      </c>
      <c r="BX8" s="1">
        <v>3.5</v>
      </c>
    </row>
    <row r="9" s="1" customFormat="1" spans="1:76">
      <c r="A9" s="6">
        <v>3</v>
      </c>
      <c r="B9" s="3" t="s">
        <v>84</v>
      </c>
      <c r="C9" s="3" t="s">
        <v>146</v>
      </c>
      <c r="D9" s="7">
        <v>31.2</v>
      </c>
      <c r="E9" s="8">
        <v>38.2</v>
      </c>
      <c r="F9" s="1">
        <v>10.96</v>
      </c>
      <c r="G9" s="1">
        <v>7.52</v>
      </c>
      <c r="H9" s="1">
        <v>150</v>
      </c>
      <c r="I9" s="1">
        <v>47.2</v>
      </c>
      <c r="J9" s="1">
        <v>62.8</v>
      </c>
      <c r="K9" s="1">
        <v>19.9</v>
      </c>
      <c r="L9" s="1">
        <v>318</v>
      </c>
      <c r="M9" s="1">
        <v>319</v>
      </c>
      <c r="N9" s="1">
        <v>40.5</v>
      </c>
      <c r="O9" s="1">
        <v>19.8</v>
      </c>
      <c r="P9" s="1">
        <v>9.3</v>
      </c>
      <c r="Q9" s="1">
        <v>8.5</v>
      </c>
      <c r="R9" s="1">
        <v>15.1</v>
      </c>
      <c r="S9" s="1">
        <v>0.24</v>
      </c>
      <c r="T9" s="1">
        <v>0</v>
      </c>
      <c r="U9" s="1">
        <v>0</v>
      </c>
      <c r="V9" s="1">
        <v>2.18</v>
      </c>
      <c r="W9" s="1">
        <v>7.01</v>
      </c>
      <c r="X9" s="1">
        <v>1.25</v>
      </c>
      <c r="Y9" s="1">
        <v>0.39</v>
      </c>
      <c r="Z9" s="1">
        <v>0.13</v>
      </c>
      <c r="AA9" s="1">
        <v>19.8</v>
      </c>
      <c r="AB9" s="1">
        <v>64</v>
      </c>
      <c r="AC9" s="1">
        <v>11.4</v>
      </c>
      <c r="AD9" s="1">
        <v>3.6</v>
      </c>
      <c r="AE9" s="1">
        <v>1.2</v>
      </c>
      <c r="AF9" s="1">
        <v>0.4</v>
      </c>
      <c r="AG9" s="1">
        <v>0.0301</v>
      </c>
      <c r="AH9" s="1">
        <v>8.6</v>
      </c>
      <c r="AI9" s="1">
        <v>91.4</v>
      </c>
      <c r="AJ9" s="1">
        <v>5.4</v>
      </c>
      <c r="AK9" s="1">
        <v>3.2</v>
      </c>
      <c r="AL9" s="1">
        <v>19.6</v>
      </c>
      <c r="AM9" s="3" t="s">
        <v>84</v>
      </c>
      <c r="AN9" s="9">
        <v>50</v>
      </c>
      <c r="AO9" s="9">
        <v>15.4</v>
      </c>
      <c r="AP9" s="9">
        <v>81.5</v>
      </c>
      <c r="AQ9" s="9">
        <v>33.4</v>
      </c>
      <c r="AR9" s="9">
        <v>0.3</v>
      </c>
      <c r="AS9" s="9">
        <v>150.6</v>
      </c>
      <c r="AT9" s="9">
        <v>47.1</v>
      </c>
      <c r="AU9" s="10">
        <v>4.48</v>
      </c>
      <c r="AV9" s="10">
        <v>2.7</v>
      </c>
      <c r="AW9" s="9">
        <v>70.7</v>
      </c>
      <c r="AX9" s="10">
        <v>2.65</v>
      </c>
      <c r="AY9" s="10">
        <v>2.06</v>
      </c>
      <c r="AZ9" s="10">
        <v>1.71</v>
      </c>
      <c r="BA9" s="10">
        <v>0.16</v>
      </c>
      <c r="BB9" s="9">
        <v>325.9</v>
      </c>
      <c r="BC9" s="9">
        <v>327.6</v>
      </c>
      <c r="BD9" s="10">
        <v>4.16</v>
      </c>
      <c r="BE9" s="9">
        <v>142.3</v>
      </c>
      <c r="BF9" s="9">
        <v>102.3</v>
      </c>
      <c r="BG9" s="10">
        <v>48.1</v>
      </c>
      <c r="BH9" s="10">
        <v>0.69</v>
      </c>
      <c r="BI9" s="10">
        <v>0.31</v>
      </c>
      <c r="BJ9" s="3" t="s">
        <v>84</v>
      </c>
      <c r="BK9" s="1">
        <v>12.7</v>
      </c>
      <c r="BL9" s="1">
        <v>20.4</v>
      </c>
      <c r="BM9" s="1">
        <v>21.5</v>
      </c>
      <c r="BN9" s="1">
        <v>12</v>
      </c>
      <c r="BO9" s="1">
        <v>1.31</v>
      </c>
      <c r="BP9" s="1">
        <v>85.3</v>
      </c>
      <c r="BQ9" s="1">
        <v>1.04</v>
      </c>
      <c r="BR9" s="1">
        <v>1.05</v>
      </c>
      <c r="BS9" s="3" t="s">
        <v>84</v>
      </c>
      <c r="BT9" s="1">
        <v>9.2</v>
      </c>
      <c r="BU9" s="1">
        <v>2.4</v>
      </c>
      <c r="BV9" s="1">
        <v>58.4</v>
      </c>
      <c r="BW9" s="1">
        <v>57.1</v>
      </c>
      <c r="BX9" s="1">
        <v>-3.3</v>
      </c>
    </row>
    <row r="10" s="1" customFormat="1" spans="1:76">
      <c r="A10" s="6">
        <v>3</v>
      </c>
      <c r="B10" s="3" t="s">
        <v>88</v>
      </c>
      <c r="C10" s="3" t="s">
        <v>147</v>
      </c>
      <c r="D10" s="7">
        <v>34</v>
      </c>
      <c r="E10" s="8">
        <v>38.2</v>
      </c>
      <c r="F10" s="1">
        <v>13.8</v>
      </c>
      <c r="G10" s="1">
        <v>8</v>
      </c>
      <c r="H10" s="1">
        <v>139</v>
      </c>
      <c r="I10" s="1">
        <v>44.4</v>
      </c>
      <c r="J10" s="1">
        <v>55.5</v>
      </c>
      <c r="K10" s="1">
        <v>17.4</v>
      </c>
      <c r="L10" s="1">
        <v>313</v>
      </c>
      <c r="M10" s="1">
        <v>367</v>
      </c>
      <c r="N10" s="1">
        <v>38.6</v>
      </c>
      <c r="O10" s="1">
        <v>21.2</v>
      </c>
      <c r="P10" s="1">
        <v>8.1</v>
      </c>
      <c r="Q10" s="1">
        <v>8.7</v>
      </c>
      <c r="R10" s="1">
        <v>16</v>
      </c>
      <c r="S10" s="1">
        <v>0.18</v>
      </c>
      <c r="T10" s="1">
        <v>0.01</v>
      </c>
      <c r="U10" s="1">
        <v>0.1</v>
      </c>
      <c r="V10" s="1">
        <v>1.8</v>
      </c>
      <c r="W10" s="1">
        <v>9.5</v>
      </c>
      <c r="X10" s="1">
        <v>1.73</v>
      </c>
      <c r="Y10" s="1">
        <v>0.61</v>
      </c>
      <c r="Z10" s="1">
        <v>0.16</v>
      </c>
      <c r="AA10" s="1">
        <v>13.1</v>
      </c>
      <c r="AB10" s="1">
        <v>68.8</v>
      </c>
      <c r="AC10" s="1">
        <v>12.5</v>
      </c>
      <c r="AD10" s="1">
        <v>4.4</v>
      </c>
      <c r="AE10" s="1">
        <v>1.2</v>
      </c>
      <c r="AF10" s="1">
        <v>0.59</v>
      </c>
      <c r="AG10" s="1">
        <v>0.0472</v>
      </c>
      <c r="AH10" s="1">
        <v>9.1</v>
      </c>
      <c r="AI10" s="1">
        <v>90.9</v>
      </c>
      <c r="AJ10" s="1">
        <v>5.7</v>
      </c>
      <c r="AK10" s="1">
        <v>3.4</v>
      </c>
      <c r="AL10" s="1">
        <v>17.4</v>
      </c>
      <c r="AM10" s="3" t="s">
        <v>88</v>
      </c>
      <c r="AN10" s="9">
        <v>54.5</v>
      </c>
      <c r="AO10" s="9">
        <v>36</v>
      </c>
      <c r="AP10" s="9">
        <v>71.7</v>
      </c>
      <c r="AQ10" s="9">
        <v>34.1</v>
      </c>
      <c r="AR10" s="9">
        <v>0.4</v>
      </c>
      <c r="AS10" s="9">
        <v>215.6</v>
      </c>
      <c r="AT10" s="9">
        <v>66.6</v>
      </c>
      <c r="AU10" s="10">
        <v>4.82</v>
      </c>
      <c r="AV10" s="10">
        <v>1.69</v>
      </c>
      <c r="AW10" s="9">
        <v>99.4</v>
      </c>
      <c r="AX10" s="10">
        <v>2.57</v>
      </c>
      <c r="AY10" s="10">
        <v>2.19</v>
      </c>
      <c r="AZ10" s="10">
        <v>1.98</v>
      </c>
      <c r="BA10" s="10">
        <v>0.12</v>
      </c>
      <c r="BB10" s="9">
        <v>687.9</v>
      </c>
      <c r="BC10" s="9">
        <v>378.3</v>
      </c>
      <c r="BD10" s="10">
        <v>4.15</v>
      </c>
      <c r="BE10" s="9">
        <v>141.1</v>
      </c>
      <c r="BF10" s="9">
        <v>101.7</v>
      </c>
      <c r="BG10" s="10">
        <v>37.6</v>
      </c>
      <c r="BH10" s="10">
        <v>0.91</v>
      </c>
      <c r="BI10" s="10">
        <v>0.66</v>
      </c>
      <c r="BJ10" s="3" t="s">
        <v>88</v>
      </c>
      <c r="BK10" s="1">
        <v>9.2</v>
      </c>
      <c r="BL10" s="1">
        <v>17</v>
      </c>
      <c r="BM10" s="1">
        <v>22.5</v>
      </c>
      <c r="BN10" s="1">
        <v>12</v>
      </c>
      <c r="BO10" s="1">
        <v>1.88</v>
      </c>
      <c r="BP10" s="1">
        <v>85.3</v>
      </c>
      <c r="BQ10" s="1">
        <v>1.04</v>
      </c>
      <c r="BR10" s="1">
        <v>1.05</v>
      </c>
      <c r="BS10" s="3" t="s">
        <v>88</v>
      </c>
      <c r="BT10" s="1">
        <v>5.8</v>
      </c>
      <c r="BU10" s="1">
        <v>1.5</v>
      </c>
      <c r="BV10" s="1">
        <v>70.3</v>
      </c>
      <c r="BW10" s="1">
        <v>66.6</v>
      </c>
      <c r="BX10" s="1">
        <v>1.3</v>
      </c>
    </row>
    <row r="11" s="1" customFormat="1" spans="1:76">
      <c r="A11" s="6">
        <v>3</v>
      </c>
      <c r="B11" s="3" t="s">
        <v>91</v>
      </c>
      <c r="C11" s="3" t="s">
        <v>147</v>
      </c>
      <c r="D11" s="7">
        <v>33.5</v>
      </c>
      <c r="E11" s="8">
        <v>38.1</v>
      </c>
      <c r="F11" s="1">
        <v>13.15</v>
      </c>
      <c r="G11" s="1">
        <v>8.76</v>
      </c>
      <c r="H11" s="1">
        <v>159</v>
      </c>
      <c r="I11" s="1">
        <v>51.5</v>
      </c>
      <c r="J11" s="1">
        <v>58.8</v>
      </c>
      <c r="K11" s="1">
        <v>18.2</v>
      </c>
      <c r="L11" s="1">
        <v>309</v>
      </c>
      <c r="M11" s="1">
        <v>491</v>
      </c>
      <c r="N11" s="1">
        <v>36</v>
      </c>
      <c r="O11" s="1">
        <v>19.7</v>
      </c>
      <c r="P11" s="1">
        <v>8.3</v>
      </c>
      <c r="Q11" s="1">
        <v>7.8</v>
      </c>
      <c r="R11" s="1">
        <v>9.7</v>
      </c>
      <c r="S11" s="1">
        <v>0.32</v>
      </c>
      <c r="T11" s="1">
        <v>0.01</v>
      </c>
      <c r="U11" s="1">
        <v>0.1</v>
      </c>
      <c r="V11" s="1">
        <v>4.76</v>
      </c>
      <c r="W11" s="1">
        <v>6.69</v>
      </c>
      <c r="X11" s="1">
        <v>1.26</v>
      </c>
      <c r="Y11" s="1">
        <v>0.36</v>
      </c>
      <c r="Z11" s="1">
        <v>0.08</v>
      </c>
      <c r="AA11" s="1">
        <v>36.2</v>
      </c>
      <c r="AB11" s="1">
        <v>50.9</v>
      </c>
      <c r="AC11" s="1">
        <v>9.6</v>
      </c>
      <c r="AD11" s="1">
        <v>2.7</v>
      </c>
      <c r="AE11" s="1">
        <v>0.6</v>
      </c>
      <c r="AF11" s="1">
        <v>0.67</v>
      </c>
      <c r="AG11" s="1">
        <v>0.0587</v>
      </c>
      <c r="AH11" s="1">
        <v>4.1</v>
      </c>
      <c r="AI11" s="1">
        <v>95.9</v>
      </c>
      <c r="AJ11" s="1">
        <v>3.4</v>
      </c>
      <c r="AK11" s="1">
        <v>0.7</v>
      </c>
      <c r="AL11" s="1">
        <v>18.9</v>
      </c>
      <c r="AM11" s="3" t="s">
        <v>91</v>
      </c>
      <c r="AN11" s="9">
        <v>31.1</v>
      </c>
      <c r="AO11" s="9">
        <v>20.7</v>
      </c>
      <c r="AP11" s="9">
        <v>70.2</v>
      </c>
      <c r="AQ11" s="9">
        <v>38.8</v>
      </c>
      <c r="AR11" s="9">
        <v>0.9</v>
      </c>
      <c r="AS11" s="9">
        <v>111.5</v>
      </c>
      <c r="AT11" s="9">
        <v>69.7</v>
      </c>
      <c r="AU11" s="10">
        <v>6.01</v>
      </c>
      <c r="AV11" s="10">
        <v>2.79</v>
      </c>
      <c r="AW11" s="9">
        <v>109.7</v>
      </c>
      <c r="AX11" s="10">
        <v>2.63</v>
      </c>
      <c r="AY11" s="10">
        <v>1.97</v>
      </c>
      <c r="AZ11" s="10">
        <v>1.42</v>
      </c>
      <c r="BA11" s="10">
        <v>0.2</v>
      </c>
      <c r="BB11" s="9">
        <v>441.5</v>
      </c>
      <c r="BC11" s="9">
        <v>320.7</v>
      </c>
      <c r="BD11" s="10">
        <v>3.91</v>
      </c>
      <c r="BE11" s="9">
        <v>141.5</v>
      </c>
      <c r="BF11" s="9">
        <v>103.3</v>
      </c>
      <c r="BG11" s="10">
        <v>31.4</v>
      </c>
      <c r="BH11" s="10">
        <v>1.24</v>
      </c>
      <c r="BI11" s="10">
        <v>0.67</v>
      </c>
      <c r="BJ11" s="3" t="s">
        <v>91</v>
      </c>
      <c r="BK11" s="1">
        <v>8.4</v>
      </c>
      <c r="BL11" s="1">
        <v>21.1</v>
      </c>
      <c r="BM11" s="1">
        <v>23</v>
      </c>
      <c r="BN11" s="1">
        <v>13.2</v>
      </c>
      <c r="BO11" s="1">
        <v>2.09</v>
      </c>
      <c r="BP11" s="1">
        <v>71.9</v>
      </c>
      <c r="BQ11" s="1">
        <v>1.15</v>
      </c>
      <c r="BR11" s="1">
        <v>1.16</v>
      </c>
      <c r="BS11" s="3" t="s">
        <v>91</v>
      </c>
      <c r="BT11" s="1">
        <v>7.1</v>
      </c>
      <c r="BU11" s="1">
        <v>2.4</v>
      </c>
      <c r="BV11" s="1">
        <v>58.1</v>
      </c>
      <c r="BW11" s="1">
        <v>63.4</v>
      </c>
      <c r="BX11" s="1">
        <v>-1.1</v>
      </c>
    </row>
    <row r="12" s="2" customFormat="1" ht="13.6" spans="1:76">
      <c r="A12" s="6" t="s">
        <v>148</v>
      </c>
      <c r="B12" s="6"/>
      <c r="C12" s="6">
        <v>1</v>
      </c>
      <c r="D12" s="6" t="str">
        <f>TEXT(AVERAGE(D3:D5),"0.00")&amp;"±"&amp;TEXT(STDEV(D3:D5),"0.00")</f>
        <v>30.92±0.82</v>
      </c>
      <c r="E12" s="6" t="str">
        <f>TEXT(AVERAGE(E3:E5),"0.00")&amp;"±"&amp;TEXT(STDEV(E3:E5),"0.00")</f>
        <v>38.30±0.20</v>
      </c>
      <c r="F12" s="6" t="str">
        <f>TEXT(AVERAGE(F3:F5),"0.00")&amp;"±"&amp;TEXT(STDEV(F3:F5),"0.00")</f>
        <v>14.22±0.97</v>
      </c>
      <c r="G12" s="6" t="str">
        <f>TEXT(AVERAGE(G3:G5),"0.00")&amp;"±"&amp;TEXT(STDEV(G3:G5),"0.00")</f>
        <v>8.34±0.59</v>
      </c>
      <c r="H12" s="6" t="str">
        <f>TEXT(AVERAGE(H3:H5),"0.00")&amp;"±"&amp;TEXT(STDEV(H3:H5),"0.00")</f>
        <v>155.67±19.50</v>
      </c>
      <c r="I12" s="6" t="str">
        <f>TEXT(AVERAGE(I3:I5),"0.00")&amp;"±"&amp;TEXT(STDEV(I3:I5),"0.00")</f>
        <v>49.10±5.52</v>
      </c>
      <c r="J12" s="6" t="str">
        <f>TEXT(AVERAGE(J3:J5),"0.00")&amp;"±"&amp;TEXT(STDEV(J3:J5),"0.00")</f>
        <v>58.90±4.85</v>
      </c>
      <c r="K12" s="6" t="str">
        <f>TEXT(AVERAGE(K3:K5),"0.00")&amp;"±"&amp;TEXT(STDEV(K3:K5),"0.00")</f>
        <v>18.63±1.59</v>
      </c>
      <c r="L12" s="6" t="str">
        <f>TEXT(AVERAGE(L3:L5),"0.00")&amp;"±"&amp;TEXT(STDEV(L3:L5),"0.00")</f>
        <v>316.67±4.62</v>
      </c>
      <c r="M12" s="6" t="str">
        <f>TEXT(AVERAGE(M3:M5),"0.00")&amp;"±"&amp;TEXT(STDEV(M3:M5),"0.00")</f>
        <v>364.33±114.12</v>
      </c>
      <c r="N12" s="6" t="str">
        <f>TEXT(AVERAGE(N3:N5),"0.00")&amp;"±"&amp;TEXT(STDEV(N3:N5),"0.00")</f>
        <v>39.40±1.65</v>
      </c>
      <c r="O12" s="6" t="str">
        <f>TEXT(AVERAGE(O3:O5),"0.00")&amp;"±"&amp;TEXT(STDEV(O3:O5),"0.00")</f>
        <v>20.93±1.51</v>
      </c>
      <c r="P12" s="6" t="str">
        <f>TEXT(AVERAGE(P3:P5),"0.00")&amp;"±"&amp;TEXT(STDEV(P3:P5),"0.00")</f>
        <v>10.57±1.93</v>
      </c>
      <c r="Q12" s="6" t="str">
        <f>TEXT(AVERAGE(Q3:Q5),"0.00")&amp;"±"&amp;TEXT(STDEV(Q3:Q5),"0.00")</f>
        <v>8.70±0.82</v>
      </c>
      <c r="R12" s="6" t="str">
        <f>TEXT(AVERAGE(R3:R5),"0.00")&amp;"±"&amp;TEXT(STDEV(R3:R5),"0.00")</f>
        <v>16.90±7.95</v>
      </c>
      <c r="S12" s="6" t="str">
        <f>TEXT(AVERAGE(S3:S5),"0.00")&amp;"±"&amp;TEXT(STDEV(S3:S5),"0.00")</f>
        <v>0.28±0.07</v>
      </c>
      <c r="T12" s="6" t="str">
        <f>TEXT(AVERAGE(T3:T5),"0.00")&amp;"±"&amp;TEXT(STDEV(T3:T5),"0.00")</f>
        <v>0.00±0.01</v>
      </c>
      <c r="U12" s="6" t="str">
        <f>TEXT(AVERAGE(U3:U5),"0.00")&amp;"±"&amp;TEXT(STDEV(U3:U5),"0.00")</f>
        <v>0.03±0.06</v>
      </c>
      <c r="V12" s="6" t="str">
        <f>TEXT(AVERAGE(V3:V5),"0.00")&amp;"±"&amp;TEXT(STDEV(V3:V5),"0.00")</f>
        <v>4.44±2.11</v>
      </c>
      <c r="W12" s="6" t="str">
        <f>TEXT(AVERAGE(W3:W5),"0.00")&amp;"±"&amp;TEXT(STDEV(W3:W5),"0.00")</f>
        <v>7.74±1.51</v>
      </c>
      <c r="X12" s="6" t="str">
        <f>TEXT(AVERAGE(X3:X5),"0.00")&amp;"±"&amp;TEXT(STDEV(X3:X5),"0.00")</f>
        <v>1.44±0.24</v>
      </c>
      <c r="Y12" s="6" t="str">
        <f>TEXT(AVERAGE(Y3:Y5),"0.00")&amp;"±"&amp;TEXT(STDEV(Y3:Y5),"0.00")</f>
        <v>0.40±0.12</v>
      </c>
      <c r="Z12" s="6" t="str">
        <f>TEXT(AVERAGE(Z3:Z5),"0.00")&amp;"±"&amp;TEXT(STDEV(Z3:Z5),"0.00")</f>
        <v>0.20±0.11</v>
      </c>
      <c r="AA12" s="6" t="str">
        <f>TEXT(AVERAGE(AA3:AA5),"0.00")&amp;"±"&amp;TEXT(STDEV(AA3:AA5),"0.00")</f>
        <v>30.77±12.91</v>
      </c>
      <c r="AB12" s="6" t="str">
        <f>TEXT(AVERAGE(AB3:AB5),"0.00")&amp;"±"&amp;TEXT(STDEV(AB3:AB5),"0.00")</f>
        <v>54.80±12.26</v>
      </c>
      <c r="AC12" s="6" t="str">
        <f>TEXT(AVERAGE(AC3:AC5),"0.00")&amp;"±"&amp;TEXT(STDEV(AC3:AC5),"0.00")</f>
        <v>10.10±1.04</v>
      </c>
      <c r="AD12" s="6" t="str">
        <f>TEXT(AVERAGE(AD3:AD5),"0.00")&amp;"±"&amp;TEXT(STDEV(AD3:AD5),"0.00")</f>
        <v>2.90±0.95</v>
      </c>
      <c r="AE12" s="6" t="str">
        <f>TEXT(AVERAGE(AE3:AE5),"0.00")&amp;"±"&amp;TEXT(STDEV(AE3:AE5),"0.00")</f>
        <v>1.43±0.75</v>
      </c>
      <c r="AF12" s="6" t="str">
        <f>TEXT(AVERAGE(AF3:AF5),"0.00")&amp;"±"&amp;TEXT(STDEV(AF3:AF5),"0.00")</f>
        <v>0.82±0.52</v>
      </c>
      <c r="AG12" s="6" t="str">
        <f>TEXT(AVERAGE(AG3:AG5),"0.00")&amp;"±"&amp;TEXT(STDEV(AG3:AG5),"0.00")</f>
        <v>0.07±0.04</v>
      </c>
      <c r="AH12" s="6" t="str">
        <f>TEXT(AVERAGE(AH3:AH5),"0.00")&amp;"±"&amp;TEXT(STDEV(AH3:AH5),"0.00")</f>
        <v>9.37±0.06</v>
      </c>
      <c r="AI12" s="6" t="str">
        <f>TEXT(AVERAGE(AI3:AI5),"0.00")&amp;"±"&amp;TEXT(STDEV(AI3:AI5),"0.00")</f>
        <v>90.63±0.06</v>
      </c>
      <c r="AJ12" s="6" t="str">
        <f>TEXT(AVERAGE(AJ3:AJ5),"0.00")&amp;"±"&amp;TEXT(STDEV(AJ3:AJ5),"0.00")</f>
        <v>6.20±3.21</v>
      </c>
      <c r="AK12" s="6" t="str">
        <f>TEXT(AVERAGE(AK3:AK5),"0.00")&amp;"±"&amp;TEXT(STDEV(AK3:AK5),"0.00")</f>
        <v>3.17±3.16</v>
      </c>
      <c r="AL12" s="6" t="str">
        <f>TEXT(AVERAGE(AL3:AL5),"0.00")&amp;"±"&amp;TEXT(STDEV(AL3:AL5),"0.00")</f>
        <v>18.83±1.16</v>
      </c>
      <c r="AN12" s="6" t="str">
        <f>TEXT(AVERAGE(AN3:AN5),"0.00")&amp;"±"&amp;TEXT(STDEV(AN3:AN5),"0.00")</f>
        <v>49.20±9.75</v>
      </c>
      <c r="AO12" s="6" t="str">
        <f>TEXT(AVERAGE(AO3:AO5),"0.00")&amp;"±"&amp;TEXT(STDEV(AO3:AO5),"0.00")</f>
        <v>36.40±14.90</v>
      </c>
      <c r="AP12" s="6" t="str">
        <f>TEXT(AVERAGE(AP3:AP5),"0.00")&amp;"±"&amp;TEXT(STDEV(AP3:AP5),"0.00")</f>
        <v>74.70±3.38</v>
      </c>
      <c r="AQ12" s="6" t="str">
        <f>TEXT(AVERAGE(AQ3:AQ5),"0.00")&amp;"±"&amp;TEXT(STDEV(AQ3:AQ5),"0.00")</f>
        <v>37.03±1.12</v>
      </c>
      <c r="AR12" s="6" t="str">
        <f>TEXT(AVERAGE(AR3:AR5),"0.00")&amp;"±"&amp;TEXT(STDEV(AR3:AR5),"0.00")</f>
        <v>0.57±0.15</v>
      </c>
      <c r="AS12" s="6" t="str">
        <f>TEXT(AVERAGE(AS3:AS5),"0.00")&amp;"±"&amp;TEXT(STDEV(AS3:AS5),"0.00")</f>
        <v>122.30±56.20</v>
      </c>
      <c r="AT12" s="6" t="str">
        <f>TEXT(AVERAGE(AT3:AT5),"0.00")&amp;"±"&amp;TEXT(STDEV(AT3:AT5),"0.00")</f>
        <v>59.93±2.11</v>
      </c>
      <c r="AU12" s="6" t="str">
        <f>TEXT(AVERAGE(AU3:AU5),"0.00")&amp;"±"&amp;TEXT(STDEV(AU3:AU5),"0.00")</f>
        <v>6.16±0.53</v>
      </c>
      <c r="AV12" s="6" t="str">
        <f>TEXT(AVERAGE(AV3:AV5),"0.00")&amp;"±"&amp;TEXT(STDEV(AV3:AV5),"0.00")</f>
        <v>3.35±1.20</v>
      </c>
      <c r="AW12" s="6" t="str">
        <f>TEXT(AVERAGE(AW3:AW5),"0.00")&amp;"±"&amp;TEXT(STDEV(AW3:AW5),"0.00")</f>
        <v>73.03±14.89</v>
      </c>
      <c r="AX12" s="6" t="str">
        <f>TEXT(AVERAGE(AX3:AX5),"0.00")&amp;"±"&amp;TEXT(STDEV(AX3:AX5),"0.00")</f>
        <v>2.59±0.07</v>
      </c>
      <c r="AY12" s="6" t="str">
        <f>TEXT(AVERAGE(AY3:AY5),"0.00")&amp;"±"&amp;TEXT(STDEV(AY3:AY5),"0.00")</f>
        <v>1.98±0.06</v>
      </c>
      <c r="AZ12" s="6" t="str">
        <f>TEXT(AVERAGE(AZ3:AZ5),"0.00")&amp;"±"&amp;TEXT(STDEV(AZ3:AZ5),"0.00")</f>
        <v>1.66±0.64</v>
      </c>
      <c r="BA12" s="6" t="str">
        <f>TEXT(AVERAGE(BA3:BA5),"0.00")&amp;"±"&amp;TEXT(STDEV(BA3:BA5),"0.00")</f>
        <v>0.27±0.11</v>
      </c>
      <c r="BB12" s="6" t="str">
        <f>TEXT(AVERAGE(BB3:BB5),"0.00")&amp;"±"&amp;TEXT(STDEV(BB3:BB5),"0.00")</f>
        <v>525.40±150.11</v>
      </c>
      <c r="BC12" s="6" t="str">
        <f>TEXT(AVERAGE(BC3:BC5),"0.00")&amp;"±"&amp;TEXT(STDEV(BC3:BC5),"0.00")</f>
        <v>499.23±65.14</v>
      </c>
      <c r="BD12" s="6" t="str">
        <f>TEXT(AVERAGE(BD3:BD5),"0.00")&amp;"±"&amp;TEXT(STDEV(BD3:BD5),"0.00")</f>
        <v>4.25±0.24</v>
      </c>
      <c r="BE12" s="6" t="str">
        <f>TEXT(AVERAGE(BE3:BE5),"0.00")&amp;"±"&amp;TEXT(STDEV(BE3:BE5),"0.00")</f>
        <v>140.80±2.44</v>
      </c>
      <c r="BF12" s="6" t="str">
        <f>TEXT(AVERAGE(BF3:BF5),"0.00")&amp;"±"&amp;TEXT(STDEV(BF3:BF5),"0.00")</f>
        <v>102.10±1.30</v>
      </c>
      <c r="BG12" s="6" t="str">
        <f>TEXT(AVERAGE(BG3:BG5),"0.00")&amp;"±"&amp;TEXT(STDEV(BG3:BG5),"0.00")</f>
        <v>37.67±4.48</v>
      </c>
      <c r="BH12" s="6" t="str">
        <f>TEXT(AVERAGE(BH3:BH5),"0.00")&amp;"±"&amp;TEXT(STDEV(BH3:BH5),"0.00")</f>
        <v>1.00±0.16</v>
      </c>
      <c r="BI12" s="6" t="str">
        <f>TEXT(AVERAGE(BI3:BI5),"0.00")&amp;"±"&amp;TEXT(STDEV(BI3:BI5),"0.00")</f>
        <v>0.77±0.34</v>
      </c>
      <c r="BK12" s="6" t="str">
        <f>TEXT(AVERAGE(BK3:BK5),"0.00")&amp;"±"&amp;TEXT(STDEV(BK3:BK5),"0.00")</f>
        <v>9.07±1.60</v>
      </c>
      <c r="BL12" s="6" t="str">
        <f>TEXT(AVERAGE(BL3:BL5),"0.00")&amp;"±"&amp;TEXT(STDEV(BL3:BL5),"0.00")</f>
        <v>20.17±3.56</v>
      </c>
      <c r="BM12" s="6" t="str">
        <f>TEXT(AVERAGE(BM3:BM5),"0.00")&amp;"±"&amp;TEXT(STDEV(BM3:BM5),"0.00")</f>
        <v>21.63±1.55</v>
      </c>
      <c r="BN12" s="6" t="str">
        <f>TEXT(AVERAGE(BN3:BN5),"0.00")&amp;"±"&amp;TEXT(STDEV(BN3:BN5),"0.00")</f>
        <v>12.20±0.40</v>
      </c>
      <c r="BO12" s="6" t="str">
        <f>TEXT(AVERAGE(BO3:BO5),"0.00")&amp;"±"&amp;TEXT(STDEV(BO3:BO5),"0.00")</f>
        <v>1.97±0.40</v>
      </c>
      <c r="BP12" s="6" t="str">
        <f>TEXT(AVERAGE(BP3:BP5),"0.00")&amp;"±"&amp;TEXT(STDEV(BP3:BP5),"0.00")</f>
        <v>83.00±4.90</v>
      </c>
      <c r="BQ12" s="6" t="str">
        <f>TEXT(AVERAGE(BQ3:BQ5),"0.00")&amp;"±"&amp;TEXT(STDEV(BQ3:BQ5),"0.00")</f>
        <v>1.06±0.04</v>
      </c>
      <c r="BR12" s="6" t="str">
        <f>TEXT(AVERAGE(BR3:BR5),"0.00")&amp;"±"&amp;TEXT(STDEV(BR3:BR5),"0.00")</f>
        <v>1.06±0.04</v>
      </c>
      <c r="BT12" s="6" t="str">
        <f>TEXT(AVERAGE(BT3:BT5),"0.00")&amp;"±"&amp;TEXT(STDEV(BT3:BT5),"0.00")</f>
        <v>5.93±2.58</v>
      </c>
      <c r="BU12" s="6" t="str">
        <f>TEXT(AVERAGE(BU3:BU5),"0.00")&amp;"±"&amp;TEXT(STDEV(BU3:BU5),"0.00")</f>
        <v>1.90±0.70</v>
      </c>
      <c r="BV12" s="6" t="str">
        <f>TEXT(AVERAGE(BV3:BV5),"0.00")&amp;"±"&amp;TEXT(STDEV(BV3:BV5),"0.00")</f>
        <v>66.93±9.44</v>
      </c>
      <c r="BW12" s="6" t="str">
        <f>TEXT(AVERAGE(BW3:BW5),"0.00")&amp;"±"&amp;TEXT(STDEV(BW3:BW5),"0.00")</f>
        <v>66.13±9.67</v>
      </c>
      <c r="BX12" s="6" t="str">
        <f>TEXT(AVERAGE(BX3:BX5),"0.00")&amp;"±"&amp;TEXT(STDEV(BX3:BX5),"0.00")</f>
        <v>0.80±3.78</v>
      </c>
    </row>
    <row r="13" s="2" customFormat="1" ht="13.6" spans="1:76">
      <c r="A13" s="6"/>
      <c r="B13" s="6"/>
      <c r="C13" s="6">
        <v>2</v>
      </c>
      <c r="D13" s="6" t="str">
        <f>TEXT(AVERAGE(D6:D8),"0.00")&amp;"±"&amp;TEXT(STDEV(D6:D8),"0.00")</f>
        <v>33.70±3.07</v>
      </c>
      <c r="E13" s="6" t="str">
        <f>TEXT(AVERAGE(E6:E8),"0.00")&amp;"±"&amp;TEXT(STDEV(E6:E8),"0.00")</f>
        <v>38.23±0.25</v>
      </c>
      <c r="F13" s="6" t="str">
        <f>TEXT(AVERAGE(F6:F8),"0.00")&amp;"±"&amp;TEXT(STDEV(F6:F8),"0.00")</f>
        <v>14.19±0.44</v>
      </c>
      <c r="G13" s="6" t="str">
        <f>TEXT(AVERAGE(G6:G8),"0.00")&amp;"±"&amp;TEXT(STDEV(G6:G8),"0.00")</f>
        <v>8.37±0.66</v>
      </c>
      <c r="H13" s="6" t="str">
        <f>TEXT(AVERAGE(H6:H8),"0.00")&amp;"±"&amp;TEXT(STDEV(H6:H8),"0.00")</f>
        <v>154.67±8.62</v>
      </c>
      <c r="I13" s="6" t="str">
        <f>TEXT(AVERAGE(I6:I8),"0.00")&amp;"±"&amp;TEXT(STDEV(I6:I8),"0.00")</f>
        <v>48.77±3.23</v>
      </c>
      <c r="J13" s="6" t="str">
        <f>TEXT(AVERAGE(J6:J8),"0.00")&amp;"±"&amp;TEXT(STDEV(J6:J8),"0.00")</f>
        <v>58.40±3.90</v>
      </c>
      <c r="K13" s="6" t="str">
        <f>TEXT(AVERAGE(K6:K8),"0.00")&amp;"±"&amp;TEXT(STDEV(K6:K8),"0.00")</f>
        <v>18.53±1.08</v>
      </c>
      <c r="L13" s="6" t="str">
        <f>TEXT(AVERAGE(L6:L8),"0.00")&amp;"±"&amp;TEXT(STDEV(L6:L8),"0.00")</f>
        <v>317.33±4.04</v>
      </c>
      <c r="M13" s="6" t="str">
        <f>TEXT(AVERAGE(M6:M8),"0.00")&amp;"±"&amp;TEXT(STDEV(M6:M8),"0.00")</f>
        <v>433.67±83.17</v>
      </c>
      <c r="N13" s="6" t="str">
        <f>TEXT(AVERAGE(N6:N8),"0.00")&amp;"±"&amp;TEXT(STDEV(N6:N8),"0.00")</f>
        <v>39.10±2.17</v>
      </c>
      <c r="O13" s="6" t="str">
        <f>TEXT(AVERAGE(O6:O8),"0.00")&amp;"±"&amp;TEXT(STDEV(O6:O8),"0.00")</f>
        <v>20.67±1.56</v>
      </c>
      <c r="P13" s="6" t="str">
        <f>TEXT(AVERAGE(P6:P8),"0.00")&amp;"±"&amp;TEXT(STDEV(P6:P8),"0.00")</f>
        <v>9.53±0.35</v>
      </c>
      <c r="Q13" s="6" t="str">
        <f>TEXT(AVERAGE(Q6:Q8),"0.00")&amp;"±"&amp;TEXT(STDEV(Q6:Q8),"0.00")</f>
        <v>8.60±0.78</v>
      </c>
      <c r="R13" s="6" t="str">
        <f>TEXT(AVERAGE(R6:R8),"0.00")&amp;"±"&amp;TEXT(STDEV(R6:R8),"0.00")</f>
        <v>16.13±8.43</v>
      </c>
      <c r="S13" s="6" t="str">
        <f>TEXT(AVERAGE(S6:S8),"0.00")&amp;"±"&amp;TEXT(STDEV(S6:S8),"0.00")</f>
        <v>0.32±0.09</v>
      </c>
      <c r="T13" s="6" t="str">
        <f>TEXT(AVERAGE(T6:T8),"0.00")&amp;"±"&amp;TEXT(STDEV(T6:T8),"0.00")</f>
        <v>0.01±0.01</v>
      </c>
      <c r="U13" s="6" t="str">
        <f>TEXT(AVERAGE(U6:U8),"0.00")&amp;"±"&amp;TEXT(STDEV(U6:U8),"0.00")</f>
        <v>0.03±0.06</v>
      </c>
      <c r="V13" s="6" t="str">
        <f>TEXT(AVERAGE(V6:V8),"0.00")&amp;"±"&amp;TEXT(STDEV(V6:V8),"0.00")</f>
        <v>2.10±0.84</v>
      </c>
      <c r="W13" s="6" t="str">
        <f>TEXT(AVERAGE(W6:W8),"0.00")&amp;"±"&amp;TEXT(STDEV(W6:W8),"0.00")</f>
        <v>9.58±0.60</v>
      </c>
      <c r="X13" s="6" t="str">
        <f>TEXT(AVERAGE(X6:X8),"0.00")&amp;"±"&amp;TEXT(STDEV(X6:X8),"0.00")</f>
        <v>1.75±0.16</v>
      </c>
      <c r="Y13" s="6" t="str">
        <f>TEXT(AVERAGE(Y6:Y8),"0.00")&amp;"±"&amp;TEXT(STDEV(Y6:Y8),"0.00")</f>
        <v>0.54±0.37</v>
      </c>
      <c r="Z13" s="6" t="str">
        <f>TEXT(AVERAGE(Z6:Z8),"0.00")&amp;"±"&amp;TEXT(STDEV(Z6:Z8),"0.00")</f>
        <v>0.21±0.15</v>
      </c>
      <c r="AA13" s="6" t="str">
        <f>TEXT(AVERAGE(AA6:AA8),"0.00")&amp;"±"&amp;TEXT(STDEV(AA6:AA8),"0.00")</f>
        <v>14.63±5.70</v>
      </c>
      <c r="AB13" s="6" t="str">
        <f>TEXT(AVERAGE(AB6:AB8),"0.00")&amp;"±"&amp;TEXT(STDEV(AB6:AB8),"0.00")</f>
        <v>67.67±6.10</v>
      </c>
      <c r="AC13" s="6" t="str">
        <f>TEXT(AVERAGE(AC6:AC8),"0.00")&amp;"±"&amp;TEXT(STDEV(AC6:AC8),"0.00")</f>
        <v>12.37±0.78</v>
      </c>
      <c r="AD13" s="6" t="str">
        <f>TEXT(AVERAGE(AD6:AD8),"0.00")&amp;"±"&amp;TEXT(STDEV(AD6:AD8),"0.00")</f>
        <v>3.80±2.52</v>
      </c>
      <c r="AE13" s="6" t="str">
        <f>TEXT(AVERAGE(AE6:AE8),"0.00")&amp;"±"&amp;TEXT(STDEV(AE6:AE8),"0.00")</f>
        <v>1.53±1.01</v>
      </c>
      <c r="AF13" s="6" t="str">
        <f>TEXT(AVERAGE(AF6:AF8),"0.00")&amp;"±"&amp;TEXT(STDEV(AF6:AF8),"0.00")</f>
        <v>0.90±0.35</v>
      </c>
      <c r="AG13" s="6" t="str">
        <f>TEXT(AVERAGE(AG6:AG8),"0.00")&amp;"±"&amp;TEXT(STDEV(AG6:AG8),"0.00")</f>
        <v>0.07±0.03</v>
      </c>
      <c r="AH13" s="6" t="str">
        <f>TEXT(AVERAGE(AH6:AH8),"0.00")&amp;"±"&amp;TEXT(STDEV(AH6:AH8),"0.00")</f>
        <v>9.73±1.25</v>
      </c>
      <c r="AI13" s="6" t="str">
        <f>TEXT(AVERAGE(AI6:AI8),"0.00")&amp;"±"&amp;TEXT(STDEV(AI6:AI8),"0.00")</f>
        <v>90.27±1.25</v>
      </c>
      <c r="AJ13" s="6" t="str">
        <f>TEXT(AVERAGE(AJ6:AJ8),"0.00")&amp;"±"&amp;TEXT(STDEV(AJ6:AJ8),"0.00")</f>
        <v>6.37±2.28</v>
      </c>
      <c r="AK13" s="6" t="str">
        <f>TEXT(AVERAGE(AK6:AK8),"0.00")&amp;"±"&amp;TEXT(STDEV(AK6:AK8),"0.00")</f>
        <v>3.37±2.89</v>
      </c>
      <c r="AL13" s="6" t="str">
        <f>TEXT(AVERAGE(AL6:AL8),"0.00")&amp;"±"&amp;TEXT(STDEV(AL6:AL8),"0.00")</f>
        <v>18.23±0.91</v>
      </c>
      <c r="AN13" s="6" t="str">
        <f>TEXT(AVERAGE(AN6:AN8),"0.00")&amp;"±"&amp;TEXT(STDEV(AN6:AN8),"0.00")</f>
        <v>41.60±4.73</v>
      </c>
      <c r="AO13" s="6" t="str">
        <f>TEXT(AVERAGE(AO6:AO8),"0.00")&amp;"±"&amp;TEXT(STDEV(AO6:AO8),"0.00")</f>
        <v>17.97±2.44</v>
      </c>
      <c r="AP13" s="6" t="str">
        <f>TEXT(AVERAGE(AP6:AP8),"0.00")&amp;"±"&amp;TEXT(STDEV(AP6:AP8),"0.00")</f>
        <v>79.60±3.66</v>
      </c>
      <c r="AQ13" s="6" t="str">
        <f>TEXT(AVERAGE(AQ6:AQ8),"0.00")&amp;"±"&amp;TEXT(STDEV(AQ6:AQ8),"0.00")</f>
        <v>37.00±2.33</v>
      </c>
      <c r="AR13" s="6" t="str">
        <f>TEXT(AVERAGE(AR6:AR8),"0.00")&amp;"±"&amp;TEXT(STDEV(AR6:AR8),"0.00")</f>
        <v>0.30±0.17</v>
      </c>
      <c r="AS13" s="6" t="str">
        <f>TEXT(AVERAGE(AS6:AS8),"0.00")&amp;"±"&amp;TEXT(STDEV(AS6:AS8),"0.00")</f>
        <v>106.70±30.30</v>
      </c>
      <c r="AT13" s="6" t="str">
        <f>TEXT(AVERAGE(AT6:AT8),"0.00")&amp;"±"&amp;TEXT(STDEV(AT6:AT8),"0.00")</f>
        <v>63.33±13.70</v>
      </c>
      <c r="AU13" s="6" t="str">
        <f>TEXT(AVERAGE(AU6:AU8),"0.00")&amp;"±"&amp;TEXT(STDEV(AU6:AU8),"0.00")</f>
        <v>5.77±0.58</v>
      </c>
      <c r="AV13" s="6" t="str">
        <f>TEXT(AVERAGE(AV6:AV8),"0.00")&amp;"±"&amp;TEXT(STDEV(AV6:AV8),"0.00")</f>
        <v>2.07±0.13</v>
      </c>
      <c r="AW13" s="6" t="str">
        <f>TEXT(AVERAGE(AW6:AW8),"0.00")&amp;"±"&amp;TEXT(STDEV(AW6:AW8),"0.00")</f>
        <v>78.77±5.94</v>
      </c>
      <c r="AX13" s="6" t="str">
        <f>TEXT(AVERAGE(AX6:AX8),"0.00")&amp;"±"&amp;TEXT(STDEV(AX6:AX8),"0.00")</f>
        <v>2.67±0.10</v>
      </c>
      <c r="AY13" s="6" t="str">
        <f>TEXT(AVERAGE(AY6:AY8),"0.00")&amp;"±"&amp;TEXT(STDEV(AY6:AY8),"0.00")</f>
        <v>2.23±0.19</v>
      </c>
      <c r="AZ13" s="6" t="str">
        <f>TEXT(AVERAGE(AZ6:AZ8),"0.00")&amp;"±"&amp;TEXT(STDEV(AZ6:AZ8),"0.00")</f>
        <v>1.53±0.10</v>
      </c>
      <c r="BA13" s="6" t="str">
        <f>TEXT(AVERAGE(BA6:BA8),"0.00")&amp;"±"&amp;TEXT(STDEV(BA6:BA8),"0.00")</f>
        <v>0.26±0.04</v>
      </c>
      <c r="BB13" s="6" t="str">
        <f>TEXT(AVERAGE(BB6:BB8),"0.00")&amp;"±"&amp;TEXT(STDEV(BB6:BB8),"0.00")</f>
        <v>654.47±93.22</v>
      </c>
      <c r="BC13" s="6" t="str">
        <f>TEXT(AVERAGE(BC6:BC8),"0.00")&amp;"±"&amp;TEXT(STDEV(BC6:BC8),"0.00")</f>
        <v>383.57±52.30</v>
      </c>
      <c r="BD13" s="6" t="str">
        <f>TEXT(AVERAGE(BD6:BD8),"0.00")&amp;"±"&amp;TEXT(STDEV(BD6:BD8),"0.00")</f>
        <v>4.22±0.37</v>
      </c>
      <c r="BE13" s="6" t="str">
        <f>TEXT(AVERAGE(BE6:BE8),"0.00")&amp;"±"&amp;TEXT(STDEV(BE6:BE8),"0.00")</f>
        <v>140.53±1.29</v>
      </c>
      <c r="BF13" s="6" t="str">
        <f>TEXT(AVERAGE(BF6:BF8),"0.00")&amp;"±"&amp;TEXT(STDEV(BF6:BF8),"0.00")</f>
        <v>102.50±0.53</v>
      </c>
      <c r="BG13" s="6" t="str">
        <f>TEXT(AVERAGE(BG6:BG8),"0.00")&amp;"±"&amp;TEXT(STDEV(BG6:BG8),"0.00")</f>
        <v>42.60±1.40</v>
      </c>
      <c r="BH13" s="6" t="str">
        <f>TEXT(AVERAGE(BH6:BH8),"0.00")&amp;"±"&amp;TEXT(STDEV(BH6:BH8),"0.00")</f>
        <v>0.87±0.03</v>
      </c>
      <c r="BI13" s="6" t="str">
        <f>TEXT(AVERAGE(BI6:BI8),"0.00")&amp;"±"&amp;TEXT(STDEV(BI6:BI8),"0.00")</f>
        <v>0.43±0.02</v>
      </c>
      <c r="BK13" s="6" t="str">
        <f>TEXT(AVERAGE(BK6:BK8),"0.00")&amp;"±"&amp;TEXT(STDEV(BK6:BK8),"0.00")</f>
        <v>7.77±2.99</v>
      </c>
      <c r="BL13" s="6" t="str">
        <f>TEXT(AVERAGE(BL6:BL8),"0.00")&amp;"±"&amp;TEXT(STDEV(BL6:BL8),"0.00")</f>
        <v>18.57±2.27</v>
      </c>
      <c r="BM13" s="6" t="str">
        <f>TEXT(AVERAGE(BM6:BM8),"0.00")&amp;"±"&amp;TEXT(STDEV(BM6:BM8),"0.00")</f>
        <v>18.70±4.19</v>
      </c>
      <c r="BN13" s="6" t="str">
        <f>TEXT(AVERAGE(BN6:BN8),"0.00")&amp;"±"&amp;TEXT(STDEV(BN6:BN8),"0.00")</f>
        <v>12.40±1.80</v>
      </c>
      <c r="BO13" s="6" t="str">
        <f>TEXT(AVERAGE(BO6:BO8),"0.00")&amp;"±"&amp;TEXT(STDEV(BO6:BO8),"0.00")</f>
        <v>2.57±1.07</v>
      </c>
      <c r="BP13" s="6" t="str">
        <f>TEXT(AVERAGE(BP6:BP8),"0.00")&amp;"±"&amp;TEXT(STDEV(BP6:BP8),"0.00")</f>
        <v>83.17±20.17</v>
      </c>
      <c r="BQ13" s="6" t="str">
        <f>TEXT(AVERAGE(BQ6:BQ8),"0.00")&amp;"±"&amp;TEXT(STDEV(BQ6:BQ8),"0.00")</f>
        <v>1.08±0.16</v>
      </c>
      <c r="BR13" s="6" t="str">
        <f>TEXT(AVERAGE(BR6:BR8),"0.00")&amp;"±"&amp;TEXT(STDEV(BR6:BR8),"0.00")</f>
        <v>1.09±0.17</v>
      </c>
      <c r="BT13" s="6" t="str">
        <f>TEXT(AVERAGE(BT6:BT8),"0.00")&amp;"±"&amp;TEXT(STDEV(BT6:BT8),"0.00")</f>
        <v>5.57±2.89</v>
      </c>
      <c r="BU13" s="6" t="str">
        <f>TEXT(AVERAGE(BU6:BU8),"0.00")&amp;"±"&amp;TEXT(STDEV(BU6:BU8),"0.00")</f>
        <v>1.70±0.70</v>
      </c>
      <c r="BV13" s="6" t="str">
        <f>TEXT(AVERAGE(BV6:BV8),"0.00")&amp;"±"&amp;TEXT(STDEV(BV6:BV8),"0.00")</f>
        <v>67.50±8.72</v>
      </c>
      <c r="BW13" s="6" t="str">
        <f>TEXT(AVERAGE(BW6:BW8),"0.00")&amp;"±"&amp;TEXT(STDEV(BW6:BW8),"0.00")</f>
        <v>65.50±7.99</v>
      </c>
      <c r="BX13" s="6" t="str">
        <f>TEXT(AVERAGE(BX6:BX8),"0.00")&amp;"±"&amp;TEXT(STDEV(BX6:BX8),"0.00")</f>
        <v>1.03±3.68</v>
      </c>
    </row>
    <row r="14" s="2" customFormat="1" ht="13.6" spans="1:76">
      <c r="A14" s="6"/>
      <c r="B14" s="6"/>
      <c r="C14" s="6">
        <v>3</v>
      </c>
      <c r="D14" s="6" t="str">
        <f>TEXT(AVERAGE(D9:D11),"0.00")&amp;"±"&amp;TEXT(STDEV(D9:D11),"0.00")</f>
        <v>32.90±1.49</v>
      </c>
      <c r="E14" s="6" t="str">
        <f>TEXT(AVERAGE(E9:E11),"0.00")&amp;"±"&amp;TEXT(STDEV(E9:E11),"0.00")</f>
        <v>38.17±0.06</v>
      </c>
      <c r="F14" s="6" t="str">
        <f>TEXT(AVERAGE(F9:F11),"0.00")&amp;"±"&amp;TEXT(STDEV(F9:F11),"0.00")</f>
        <v>12.64±1.49</v>
      </c>
      <c r="G14" s="6" t="str">
        <f>TEXT(AVERAGE(G9:G11),"0.00")&amp;"±"&amp;TEXT(STDEV(G9:G11),"0.00")</f>
        <v>8.09±0.63</v>
      </c>
      <c r="H14" s="6" t="str">
        <f>TEXT(AVERAGE(H9:H11),"0.00")&amp;"±"&amp;TEXT(STDEV(H9:H11),"0.00")</f>
        <v>149.33±10.02</v>
      </c>
      <c r="I14" s="6" t="str">
        <f>TEXT(AVERAGE(I9:I11),"0.00")&amp;"±"&amp;TEXT(STDEV(I9:I11),"0.00")</f>
        <v>47.70±3.58</v>
      </c>
      <c r="J14" s="6" t="str">
        <f>TEXT(AVERAGE(J9:J11),"0.00")&amp;"±"&amp;TEXT(STDEV(J9:J11),"0.00")</f>
        <v>59.03±3.66</v>
      </c>
      <c r="K14" s="6" t="str">
        <f>TEXT(AVERAGE(K9:K11),"0.00")&amp;"±"&amp;TEXT(STDEV(K9:K11),"0.00")</f>
        <v>18.50±1.28</v>
      </c>
      <c r="L14" s="6" t="str">
        <f>TEXT(AVERAGE(L9:L11),"0.00")&amp;"±"&amp;TEXT(STDEV(L9:L11),"0.00")</f>
        <v>313.33±4.51</v>
      </c>
      <c r="M14" s="6" t="str">
        <f>TEXT(AVERAGE(M9:M11),"0.00")&amp;"±"&amp;TEXT(STDEV(M9:M11),"0.00")</f>
        <v>392.33±88.75</v>
      </c>
      <c r="N14" s="6" t="str">
        <f>TEXT(AVERAGE(N9:N11),"0.00")&amp;"±"&amp;TEXT(STDEV(N9:N11),"0.00")</f>
        <v>38.37±2.26</v>
      </c>
      <c r="O14" s="6" t="str">
        <f>TEXT(AVERAGE(O9:O11),"0.00")&amp;"±"&amp;TEXT(STDEV(O9:O11),"0.00")</f>
        <v>20.23±0.84</v>
      </c>
      <c r="P14" s="6" t="str">
        <f>TEXT(AVERAGE(P9:P11),"0.00")&amp;"±"&amp;TEXT(STDEV(P9:P11),"0.00")</f>
        <v>8.57±0.64</v>
      </c>
      <c r="Q14" s="6" t="str">
        <f>TEXT(AVERAGE(Q9:Q11),"0.00")&amp;"±"&amp;TEXT(STDEV(Q9:Q11),"0.00")</f>
        <v>8.33±0.47</v>
      </c>
      <c r="R14" s="6" t="str">
        <f>TEXT(AVERAGE(R9:R11),"0.00")&amp;"±"&amp;TEXT(STDEV(R9:R11),"0.00")</f>
        <v>13.60±3.41</v>
      </c>
      <c r="S14" s="6" t="str">
        <f>TEXT(AVERAGE(S9:S11),"0.00")&amp;"±"&amp;TEXT(STDEV(S9:S11),"0.00")</f>
        <v>0.25±0.07</v>
      </c>
      <c r="T14" s="6" t="str">
        <f>TEXT(AVERAGE(T9:T11),"0.00")&amp;"±"&amp;TEXT(STDEV(T9:T11),"0.00")</f>
        <v>0.01±0.01</v>
      </c>
      <c r="U14" s="6" t="str">
        <f>TEXT(AVERAGE(U9:U11),"0.00")&amp;"±"&amp;TEXT(STDEV(U9:U11),"0.00")</f>
        <v>0.07±0.06</v>
      </c>
      <c r="V14" s="6" t="str">
        <f>TEXT(AVERAGE(V9:V11),"0.00")&amp;"±"&amp;TEXT(STDEV(V9:V11),"0.00")</f>
        <v>2.91±1.61</v>
      </c>
      <c r="W14" s="6" t="str">
        <f>TEXT(AVERAGE(W9:W11),"0.00")&amp;"±"&amp;TEXT(STDEV(W9:W11),"0.00")</f>
        <v>7.73±1.54</v>
      </c>
      <c r="X14" s="6" t="str">
        <f>TEXT(AVERAGE(X9:X11),"0.00")&amp;"±"&amp;TEXT(STDEV(X9:X11),"0.00")</f>
        <v>1.41±0.27</v>
      </c>
      <c r="Y14" s="6" t="str">
        <f>TEXT(AVERAGE(Y9:Y11),"0.00")&amp;"±"&amp;TEXT(STDEV(Y9:Y11),"0.00")</f>
        <v>0.45±0.14</v>
      </c>
      <c r="Z14" s="6" t="str">
        <f>TEXT(AVERAGE(Z9:Z11),"0.00")&amp;"±"&amp;TEXT(STDEV(Z9:Z11),"0.00")</f>
        <v>0.12±0.04</v>
      </c>
      <c r="AA14" s="6" t="str">
        <f>TEXT(AVERAGE(AA9:AA11),"0.00")&amp;"±"&amp;TEXT(STDEV(AA9:AA11),"0.00")</f>
        <v>23.03±11.88</v>
      </c>
      <c r="AB14" s="6" t="str">
        <f>TEXT(AVERAGE(AB9:AB11),"0.00")&amp;"±"&amp;TEXT(STDEV(AB9:AB11),"0.00")</f>
        <v>61.23±9.27</v>
      </c>
      <c r="AC14" s="6" t="str">
        <f>TEXT(AVERAGE(AC9:AC11),"0.00")&amp;"±"&amp;TEXT(STDEV(AC9:AC11),"0.00")</f>
        <v>11.17±1.46</v>
      </c>
      <c r="AD14" s="6" t="str">
        <f>TEXT(AVERAGE(AD9:AD11),"0.00")&amp;"±"&amp;TEXT(STDEV(AD9:AD11),"0.00")</f>
        <v>3.57±0.85</v>
      </c>
      <c r="AE14" s="6" t="str">
        <f>TEXT(AVERAGE(AE9:AE11),"0.00")&amp;"±"&amp;TEXT(STDEV(AE9:AE11),"0.00")</f>
        <v>1.00±0.35</v>
      </c>
      <c r="AF14" s="6" t="str">
        <f>TEXT(AVERAGE(AF9:AF11),"0.00")&amp;"±"&amp;TEXT(STDEV(AF9:AF11),"0.00")</f>
        <v>0.55±0.14</v>
      </c>
      <c r="AG14" s="6" t="str">
        <f>TEXT(AVERAGE(AG9:AG11),"0.00")&amp;"±"&amp;TEXT(STDEV(AG9:AG11),"0.00")</f>
        <v>0.05±0.01</v>
      </c>
      <c r="AH14" s="6" t="str">
        <f>TEXT(AVERAGE(AH9:AH11),"0.00")&amp;"±"&amp;TEXT(STDEV(AH9:AH11),"0.00")</f>
        <v>7.27±2.75</v>
      </c>
      <c r="AI14" s="6" t="str">
        <f>TEXT(AVERAGE(AI9:AI11),"0.00")&amp;"±"&amp;TEXT(STDEV(AI9:AI11),"0.00")</f>
        <v>92.73±2.75</v>
      </c>
      <c r="AJ14" s="6" t="str">
        <f>TEXT(AVERAGE(AJ9:AJ11),"0.00")&amp;"±"&amp;TEXT(STDEV(AJ9:AJ11),"0.00")</f>
        <v>4.83±1.25</v>
      </c>
      <c r="AK14" s="6" t="str">
        <f>TEXT(AVERAGE(AK9:AK11),"0.00")&amp;"±"&amp;TEXT(STDEV(AK9:AK11),"0.00")</f>
        <v>2.43±1.50</v>
      </c>
      <c r="AL14" s="6" t="str">
        <f>TEXT(AVERAGE(AL9:AL11),"0.00")&amp;"±"&amp;TEXT(STDEV(AL9:AL11),"0.00")</f>
        <v>18.63±1.12</v>
      </c>
      <c r="AN14" s="6" t="str">
        <f>TEXT(AVERAGE(AN9:AN11),"0.00")&amp;"±"&amp;TEXT(STDEV(AN9:AN11),"0.00")</f>
        <v>45.20±12.42</v>
      </c>
      <c r="AO14" s="6" t="str">
        <f>TEXT(AVERAGE(AO9:AO11),"0.00")&amp;"±"&amp;TEXT(STDEV(AO9:AO11),"0.00")</f>
        <v>24.03±10.70</v>
      </c>
      <c r="AP14" s="6" t="str">
        <f>TEXT(AVERAGE(AP9:AP11),"0.00")&amp;"±"&amp;TEXT(STDEV(AP9:AP11),"0.00")</f>
        <v>74.47±6.14</v>
      </c>
      <c r="AQ14" s="6" t="str">
        <f>TEXT(AVERAGE(AQ9:AQ11),"0.00")&amp;"±"&amp;TEXT(STDEV(AQ9:AQ11),"0.00")</f>
        <v>35.43±2.94</v>
      </c>
      <c r="AR14" s="6" t="str">
        <f>TEXT(AVERAGE(AR9:AR11),"0.00")&amp;"±"&amp;TEXT(STDEV(AR9:AR11),"0.00")</f>
        <v>0.53±0.32</v>
      </c>
      <c r="AS14" s="6" t="str">
        <f>TEXT(AVERAGE(AS9:AS11),"0.00")&amp;"±"&amp;TEXT(STDEV(AS9:AS11),"0.00")</f>
        <v>159.23±52.58</v>
      </c>
      <c r="AT14" s="6" t="str">
        <f>TEXT(AVERAGE(AT9:AT11),"0.00")&amp;"±"&amp;TEXT(STDEV(AT9:AT11),"0.00")</f>
        <v>61.13±12.25</v>
      </c>
      <c r="AU14" s="6" t="str">
        <f>TEXT(AVERAGE(AU9:AU11),"0.00")&amp;"±"&amp;TEXT(STDEV(AU9:AU11),"0.00")</f>
        <v>5.10±0.80</v>
      </c>
      <c r="AV14" s="6" t="str">
        <f>TEXT(AVERAGE(AV9:AV11),"0.00")&amp;"±"&amp;TEXT(STDEV(AV9:AV11),"0.00")</f>
        <v>2.39±0.61</v>
      </c>
      <c r="AW14" s="6" t="str">
        <f>TEXT(AVERAGE(AW9:AW11),"0.00")&amp;"±"&amp;TEXT(STDEV(AW9:AW11),"0.00")</f>
        <v>93.27±20.21</v>
      </c>
      <c r="AX14" s="6" t="str">
        <f>TEXT(AVERAGE(AX9:AX11),"0.00")&amp;"±"&amp;TEXT(STDEV(AX9:AX11),"0.00")</f>
        <v>2.62±0.04</v>
      </c>
      <c r="AY14" s="6" t="str">
        <f>TEXT(AVERAGE(AY9:AY11),"0.00")&amp;"±"&amp;TEXT(STDEV(AY9:AY11),"0.00")</f>
        <v>2.07±0.11</v>
      </c>
      <c r="AZ14" s="6" t="str">
        <f>TEXT(AVERAGE(AZ9:AZ11),"0.00")&amp;"±"&amp;TEXT(STDEV(AZ9:AZ11),"0.00")</f>
        <v>1.70±0.28</v>
      </c>
      <c r="BA14" s="6" t="str">
        <f>TEXT(AVERAGE(BA9:BA11),"0.00")&amp;"±"&amp;TEXT(STDEV(BA9:BA11),"0.00")</f>
        <v>0.16±0.04</v>
      </c>
      <c r="BB14" s="6" t="str">
        <f>TEXT(AVERAGE(BB9:BB11),"0.00")&amp;"±"&amp;TEXT(STDEV(BB9:BB11),"0.00")</f>
        <v>485.10±184.90</v>
      </c>
      <c r="BC14" s="6" t="str">
        <f>TEXT(AVERAGE(BC9:BC11),"0.00")&amp;"±"&amp;TEXT(STDEV(BC9:BC11),"0.00")</f>
        <v>342.20±31.45</v>
      </c>
      <c r="BD14" s="6" t="str">
        <f>TEXT(AVERAGE(BD9:BD11),"0.00")&amp;"±"&amp;TEXT(STDEV(BD9:BD11),"0.00")</f>
        <v>4.07±0.14</v>
      </c>
      <c r="BE14" s="6" t="str">
        <f>TEXT(AVERAGE(BE9:BE11),"0.00")&amp;"±"&amp;TEXT(STDEV(BE9:BE11),"0.00")</f>
        <v>141.63±0.61</v>
      </c>
      <c r="BF14" s="6" t="str">
        <f>TEXT(AVERAGE(BF9:BF11),"0.00")&amp;"±"&amp;TEXT(STDEV(BF9:BF11),"0.00")</f>
        <v>102.43±0.81</v>
      </c>
      <c r="BG14" s="6" t="str">
        <f>TEXT(AVERAGE(BG9:BG11),"0.00")&amp;"±"&amp;TEXT(STDEV(BG9:BG11),"0.00")</f>
        <v>39.03±8.44</v>
      </c>
      <c r="BH14" s="6" t="str">
        <f>TEXT(AVERAGE(BH9:BH11),"0.00")&amp;"±"&amp;TEXT(STDEV(BH9:BH11),"0.00")</f>
        <v>0.95±0.28</v>
      </c>
      <c r="BI14" s="6" t="str">
        <f>TEXT(AVERAGE(BI9:BI11),"0.00")&amp;"±"&amp;TEXT(STDEV(BI9:BI11),"0.00")</f>
        <v>0.55±0.21</v>
      </c>
      <c r="BK14" s="6" t="str">
        <f>TEXT(AVERAGE(BK9:BK11),"0.00")&amp;"±"&amp;TEXT(STDEV(BK9:BK11),"0.00")</f>
        <v>10.10±2.29</v>
      </c>
      <c r="BL14" s="6" t="str">
        <f>TEXT(AVERAGE(BL9:BL11),"0.00")&amp;"±"&amp;TEXT(STDEV(BL9:BL11),"0.00")</f>
        <v>19.50±2.19</v>
      </c>
      <c r="BM14" s="6" t="str">
        <f>TEXT(AVERAGE(BM9:BM11),"0.00")&amp;"±"&amp;TEXT(STDEV(BM9:BM11),"0.00")</f>
        <v>22.33±0.76</v>
      </c>
      <c r="BN14" s="6" t="str">
        <f>TEXT(AVERAGE(BN9:BN11),"0.00")&amp;"±"&amp;TEXT(STDEV(BN9:BN11),"0.00")</f>
        <v>12.40±0.69</v>
      </c>
      <c r="BO14" s="6" t="str">
        <f>TEXT(AVERAGE(BO9:BO11),"0.00")&amp;"±"&amp;TEXT(STDEV(BO9:BO11),"0.00")</f>
        <v>1.76±0.40</v>
      </c>
      <c r="BP14" s="6" t="str">
        <f>TEXT(AVERAGE(BP9:BP11),"0.00")&amp;"±"&amp;TEXT(STDEV(BP9:BP11),"0.00")</f>
        <v>80.83±7.74</v>
      </c>
      <c r="BQ14" s="6" t="str">
        <f>TEXT(AVERAGE(BQ9:BQ11),"0.00")&amp;"±"&amp;TEXT(STDEV(BQ9:BQ11),"0.00")</f>
        <v>1.08±0.06</v>
      </c>
      <c r="BR14" s="6" t="str">
        <f>TEXT(AVERAGE(BR9:BR11),"0.00")&amp;"±"&amp;TEXT(STDEV(BR9:BR11),"0.00")</f>
        <v>1.09±0.06</v>
      </c>
      <c r="BT14" s="6" t="str">
        <f>TEXT(AVERAGE(BT9:BT11),"0.00")&amp;"±"&amp;TEXT(STDEV(BT9:BT11),"0.00")</f>
        <v>7.37±1.72</v>
      </c>
      <c r="BU14" s="6" t="str">
        <f>TEXT(AVERAGE(BU9:BU11),"0.00")&amp;"±"&amp;TEXT(STDEV(BU9:BU11),"0.00")</f>
        <v>2.10±0.52</v>
      </c>
      <c r="BV14" s="6" t="str">
        <f>TEXT(AVERAGE(BV9:BV11),"0.00")&amp;"±"&amp;TEXT(STDEV(BV9:BV11),"0.00")</f>
        <v>62.27±6.96</v>
      </c>
      <c r="BW14" s="6" t="str">
        <f>TEXT(AVERAGE(BW9:BW11),"0.00")&amp;"±"&amp;TEXT(STDEV(BW9:BW11),"0.00")</f>
        <v>62.37±4.83</v>
      </c>
      <c r="BX14" s="6" t="str">
        <f>TEXT(AVERAGE(BX9:BX11),"0.00")&amp;"±"&amp;TEXT(STDEV(BX9:BX11),"0.00")</f>
        <v>-1.03±2.30</v>
      </c>
    </row>
    <row r="15" s="2" customFormat="1" ht="13.6" spans="1:76">
      <c r="A15" s="12" t="s">
        <v>149</v>
      </c>
      <c r="B15" s="12"/>
      <c r="C15" s="6" t="s">
        <v>150</v>
      </c>
      <c r="D15" s="13" cm="1">
        <f t="array" ref="D15">TTEST(D3:D5,D6:D8,1,3)</f>
        <v>0.126655071291352</v>
      </c>
      <c r="E15" s="13" cm="1">
        <f t="array" ref="E15">TTEST(E3:E5,E6:E8,1,3)</f>
        <v>0.369236851345234</v>
      </c>
      <c r="F15" s="13" cm="1">
        <f t="array" ref="F15">TTEST(F3:F5,F6:F8,1,3)</f>
        <v>0.480137985247796</v>
      </c>
      <c r="G15" s="13" cm="1">
        <f t="array" ref="G15">TTEST(G3:G5,G6:G8,1,3)</f>
        <v>0.477970765096626</v>
      </c>
      <c r="H15" s="13" cm="1">
        <f t="array" ref="H15">TTEST(H3:H5,H6:H8,1,3)</f>
        <v>0.470399446058432</v>
      </c>
      <c r="I15" s="13" cm="1">
        <f t="array" ref="I15">TTEST(I3:I5,I6:I8,1,3)</f>
        <v>0.466724824027164</v>
      </c>
      <c r="J15" s="13" cm="1">
        <f t="array" ref="J15">TTEST(J3:J5,J6:J8,1,3)</f>
        <v>0.448187476411215</v>
      </c>
      <c r="K15" s="13" cm="1">
        <f t="array" ref="K15">TTEST(K3:K5,K6:K8,1,3)</f>
        <v>0.466603142431696</v>
      </c>
      <c r="L15" s="13" cm="1">
        <f t="array" ref="L15">TTEST(L3:L5,L6:L8,1,3)</f>
        <v>0.430038127020507</v>
      </c>
      <c r="M15" s="13" cm="1">
        <f t="array" ref="M15">TTEST(M3:M5,M6:M8,1,3)</f>
        <v>0.223581345442867</v>
      </c>
      <c r="N15" s="13" cm="1">
        <f t="array" ref="N15">TTEST(N3:N5,N6:N8,1,3)</f>
        <v>0.429310411947115</v>
      </c>
      <c r="O15" s="13" cm="1">
        <f t="array" ref="O15">TTEST(O3:O5,O6:O8,1,3)</f>
        <v>0.421159246666412</v>
      </c>
      <c r="P15" s="13" cm="1">
        <f t="array" ref="P15">TTEST(P3:P5,P6:P8,1,3)</f>
        <v>0.226310884844582</v>
      </c>
      <c r="Q15" s="13" cm="1">
        <f t="array" ref="Q15">TTEST(Q3:Q5,Q6:Q8,1,3)</f>
        <v>0.442876437433344</v>
      </c>
      <c r="R15" s="13" cm="1">
        <f t="array" ref="R15">TTEST(R3:R5,R6:R8,1,3)</f>
        <v>0.457158527410539</v>
      </c>
      <c r="S15" s="13" cm="1">
        <f t="array" ref="S15">TTEST(S3:S5,S6:S8,1,3)</f>
        <v>0.284577254557323</v>
      </c>
      <c r="T15" s="13" cm="1">
        <f t="array" ref="T15">TTEST(T3:T5,T6:T8,1,3)</f>
        <v>0.342799207238078</v>
      </c>
      <c r="U15" s="13" cm="1">
        <f t="array" ref="U15">TTEST(U3:U5,U6:U8,1,3)</f>
        <v>0.5</v>
      </c>
      <c r="V15" s="13" cm="1">
        <f t="array" ref="V15">TTEST(V3:V5,V6:V8,1,3)</f>
        <v>0.0931817441367994</v>
      </c>
      <c r="W15" s="13" cm="1">
        <f t="array" ref="W15">TTEST(W3:W5,W6:W8,1,3)</f>
        <v>0.0788945973964006</v>
      </c>
      <c r="X15" s="13" cm="1">
        <f t="array" ref="X15">TTEST(X3:X5,X6:X8,1,3)</f>
        <v>0.0738275196896644</v>
      </c>
      <c r="Y15" s="13" cm="1">
        <f t="array" ref="Y15">TTEST(Y3:Y5,Y6:Y8,1,3)</f>
        <v>0.297507233822</v>
      </c>
      <c r="Z15" s="13" cm="1">
        <f t="array" ref="Z15">TTEST(Z3:Z5,Z6:Z8,1,3)</f>
        <v>0.452444245912541</v>
      </c>
      <c r="AA15" s="13" cm="1">
        <f t="array" ref="AA15">TTEST(AA3:AA5,AA6:AA8,1,3)</f>
        <v>0.0751742362193879</v>
      </c>
      <c r="AB15" s="13" cm="1">
        <f t="array" ref="AB15">TTEST(AB3:AB5,AB6:AB8,1,3)</f>
        <v>0.102160489399625</v>
      </c>
      <c r="AC15" s="13" cm="1">
        <f t="array" ref="AC15">TTEST(AC3:AC5,AC6:AC8,1,3)</f>
        <v>0.0217556499590633</v>
      </c>
      <c r="AD15" s="13" cm="1">
        <f t="array" ref="AD15">TTEST(AD3:AD5,AD6:AD8,1,3)</f>
        <v>0.305135439689009</v>
      </c>
      <c r="AE15" s="13" cm="1">
        <f t="array" ref="AE15">TTEST(AE3:AE5,AE6:AE8,1,3)</f>
        <v>0.448733520300423</v>
      </c>
      <c r="AF15" s="13" cm="1">
        <f t="array" ref="AF15">TTEST(AF3:AF5,AF6:AF8,1,3)</f>
        <v>0.422214259956876</v>
      </c>
      <c r="AG15" s="13" cm="1">
        <f t="array" ref="AG15">TTEST(AG3:AG5,AG6:AG8,1,3)</f>
        <v>0.401524973806799</v>
      </c>
      <c r="AH15" s="13" cm="1">
        <f t="array" ref="AH15">TTEST(AH3:AH5,AH6:AH8,1,3)</f>
        <v>0.331054249571865</v>
      </c>
      <c r="AI15" s="13" cm="1">
        <f t="array" ref="AI15">TTEST(AI3:AI5,AI6:AI8,1,3)</f>
        <v>0.331054249571867</v>
      </c>
      <c r="AJ15" s="13" cm="1">
        <f t="array" ref="AJ15">TTEST(AJ3:AJ5,AJ6:AJ8,1,3)</f>
        <v>0.472744915137301</v>
      </c>
      <c r="AK15" s="13" cm="1">
        <f t="array" ref="AK15">TTEST(AK3:AK5,AK6:AK8,1,3)</f>
        <v>0.469718945659969</v>
      </c>
      <c r="AL15" s="13" cm="1">
        <f t="array" ref="AL15">TTEST(AL3:AL5,AL6:AL8,1,3)</f>
        <v>0.260614336610393</v>
      </c>
      <c r="AN15" s="13" cm="1">
        <f t="array" ref="AN15">TTEST(AN3:AN5,AN6:AN8,1,3)</f>
        <v>0.157196702322705</v>
      </c>
      <c r="AO15" s="13" cm="1">
        <f t="array" ref="AO15">TTEST(AO3:AO5,AO6:AO8,1,3)</f>
        <v>0.0811083527759949</v>
      </c>
      <c r="AP15" s="13" cm="1">
        <f t="array" ref="AP15">TTEST(AP3:AP5,AP6:AP8,1,3)</f>
        <v>0.0819980888590087</v>
      </c>
      <c r="AQ15" s="13" cm="1">
        <f t="array" ref="AQ15">TTEST(AQ3:AQ5,AQ6:AQ8,1,3)</f>
        <v>0.491815684866788</v>
      </c>
      <c r="AR15" s="13" cm="1">
        <f t="array" ref="AR15">TTEST(AR3:AR5,AR6:AR8,1,3)</f>
        <v>0.0586087467566717</v>
      </c>
      <c r="AS15" s="13" cm="1">
        <f t="array" ref="AS15">TTEST(AS3:AS5,AS6:AS8,1,3)</f>
        <v>0.350015151865803</v>
      </c>
      <c r="AT15" s="13" cm="1">
        <f t="array" ref="AT15">TTEST(AT3:AT5,AT6:AT8,1,3)</f>
        <v>0.355273292482598</v>
      </c>
      <c r="AU15" s="13" cm="1">
        <f t="array" ref="AU15">TTEST(AU3:AU5,AU6:AU8,1,3)</f>
        <v>0.215706947777287</v>
      </c>
      <c r="AV15" s="13" cm="1">
        <f t="array" ref="AV15">TTEST(AV3:AV5,AV6:AV8,1,3)</f>
        <v>0.102229153623938</v>
      </c>
      <c r="AW15" s="13" cm="1">
        <f t="array" ref="AW15">TTEST(AW3:AW5,AW6:AW8,1,3)</f>
        <v>0.292612927334275</v>
      </c>
      <c r="AX15" s="13" cm="1">
        <f t="array" ref="AX15">TTEST(AX3:AX5,AX6:AX8,1,3)</f>
        <v>0.155036941726019</v>
      </c>
      <c r="AY15" s="13" cm="1">
        <f t="array" ref="AY15">TTEST(AY3:AY5,AY6:AY8,1,3)</f>
        <v>0.0742538591328725</v>
      </c>
      <c r="AZ15" s="13" cm="1">
        <f t="array" ref="AZ15">TTEST(AZ3:AZ5,AZ6:AZ8,1,3)</f>
        <v>0.377585621658954</v>
      </c>
      <c r="BA15" s="13" cm="1">
        <f t="array" ref="BA15">TTEST(BA3:BA5,BA6:BA8,1,3)</f>
        <v>0.429709425657154</v>
      </c>
      <c r="BB15" s="13" cm="1">
        <f t="array" ref="BB15">TTEST(BB3:BB5,BB6:BB8,1,3)</f>
        <v>0.1434050735026</v>
      </c>
      <c r="BC15" s="13" cm="1">
        <f t="array" ref="BC15">TTEST(BC3:BC5,BC6:BC8,1,3)</f>
        <v>0.0387492189161103</v>
      </c>
      <c r="BD15" s="13" cm="1">
        <f t="array" ref="BD15">TTEST(BD3:BD5,BD6:BD8,1,3)</f>
        <v>0.460838838026513</v>
      </c>
      <c r="BE15" s="13" cm="1">
        <f t="array" ref="BE15">TTEST(BE3:BE5,BE6:BE8,1,3)</f>
        <v>0.438876956180116</v>
      </c>
      <c r="BF15" s="13" cm="1">
        <f t="array" ref="BF15">TTEST(BF3:BF5,BF6:BF8,1,3)</f>
        <v>0.329806914141062</v>
      </c>
      <c r="BG15" s="13" cm="1">
        <f t="array" ref="BG15">TTEST(BG3:BG5,BG6:BG8,1,3)</f>
        <v>0.0945728067771893</v>
      </c>
      <c r="BH15" s="13" cm="1">
        <f t="array" ref="BH15">TTEST(BH3:BH5,BH6:BH8,1,3)</f>
        <v>0.145273477732752</v>
      </c>
      <c r="BI15" s="13" cm="1">
        <f t="array" ref="BI15">TTEST(BI3:BI5,BI6:BI8,1,3)</f>
        <v>0.116872388784653</v>
      </c>
      <c r="BK15" s="13" cm="1">
        <f t="array" ref="BK15">TTEST(BK3:BK5,BK6:BK8,1,3)</f>
        <v>0.276716322771925</v>
      </c>
      <c r="BL15" s="13" cm="1">
        <f t="array" ref="BL15">TTEST(BL3:BL5,BL6:BL8,1,3)</f>
        <v>0.276896760537232</v>
      </c>
      <c r="BM15" s="13" cm="1">
        <f t="array" ref="BM15">TTEST(BM3:BM5,BM6:BM8,1,3)</f>
        <v>0.17570103971934</v>
      </c>
      <c r="BN15" s="13" cm="1">
        <f t="array" ref="BN15">TTEST(BN3:BN5,BN6:BN8,1,3)</f>
        <v>0.433558691442031</v>
      </c>
      <c r="BO15" s="13" cm="1">
        <f t="array" ref="BO15">TTEST(BO3:BO5,BO6:BO8,1,3)</f>
        <v>0.219510951898976</v>
      </c>
      <c r="BP15" s="13" cm="1">
        <f t="array" ref="BP15">TTEST(BP3:BP5,BP6:BP8,1,3)</f>
        <v>0.495023678497646</v>
      </c>
      <c r="BQ15" s="13" cm="1">
        <f t="array" ref="BQ15">TTEST(BQ3:BQ5,BQ6:BQ8,1,3)</f>
        <v>0.448450861074386</v>
      </c>
      <c r="BR15" s="13" cm="1">
        <f t="array" ref="BR15">TTEST(BR3:BR5,BR6:BR8,1,3)</f>
        <v>0.415673120859129</v>
      </c>
      <c r="BT15" s="13" cm="1">
        <f t="array" ref="BT15">TTEST(BT3:BT5,BT6:BT8,1,3)</f>
        <v>0.438890335259206</v>
      </c>
      <c r="BU15" s="13" cm="1">
        <f t="array" ref="BU15">TTEST(BU3:BU5,BU6:BU8,1,3)</f>
        <v>0.37202067062889</v>
      </c>
      <c r="BV15" s="13" cm="1">
        <f t="array" ref="BV15">TTEST(BV3:BV5,BV6:BV8,1,3)</f>
        <v>0.471397842239295</v>
      </c>
      <c r="BW15" s="13" cm="1">
        <f t="array" ref="BW15">TTEST(BW3:BW5,BW6:BW8,1,3)</f>
        <v>0.467339365491094</v>
      </c>
      <c r="BX15" s="13" cm="1">
        <f t="array" ref="BX15">TTEST(BX3:BX5,BX6:BX8,1,3)</f>
        <v>0.471319812320317</v>
      </c>
    </row>
    <row r="16" s="2" customFormat="1" ht="13.6" spans="1:76">
      <c r="A16" s="12"/>
      <c r="B16" s="12"/>
      <c r="C16" s="6" t="s">
        <v>151</v>
      </c>
      <c r="D16" s="13" cm="1">
        <f t="array" ref="D16">TTEST(D3:D5,D9:D11,1,3)</f>
        <v>0.0670205067564812</v>
      </c>
      <c r="E16" s="13" cm="1">
        <f t="array" ref="E16">TTEST(E3:E5,E9:E11,1,3)</f>
        <v>0.184250606197339</v>
      </c>
      <c r="F16" s="13" cm="1">
        <f t="array" ref="F16">TTEST(F3:F5,F9:F11,1,3)</f>
        <v>0.104307961075267</v>
      </c>
      <c r="G16" s="13" cm="1">
        <f t="array" ref="G16">TTEST(G3:G5,G9:G11,1,3)</f>
        <v>0.32505584330676</v>
      </c>
      <c r="H16" s="13" cm="1">
        <f t="array" ref="H16">TTEST(H3:H5,H9:H11,1,3)</f>
        <v>0.325687018791108</v>
      </c>
      <c r="I16" s="13" cm="1">
        <f t="array" ref="I16">TTEST(I3:I5,I9:I11,1,3)</f>
        <v>0.367070848681069</v>
      </c>
      <c r="J16" s="13" cm="1">
        <f t="array" ref="J16">TTEST(J3:J5,J9:J11,1,3)</f>
        <v>0.485817927042262</v>
      </c>
      <c r="K16" s="13" cm="1">
        <f t="array" ref="K16">TTEST(K3:K5,K9:K11,1,3)</f>
        <v>0.457843723255034</v>
      </c>
      <c r="L16" s="13" cm="1">
        <f t="array" ref="L16">TTEST(L3:L5,L9:L11,1,3)</f>
        <v>0.210837715879969</v>
      </c>
      <c r="M16" s="13" cm="1">
        <f t="array" ref="M16">TTEST(M3:M5,M9:M11,1,3)</f>
        <v>0.377548425448943</v>
      </c>
      <c r="N16" s="13" cm="1">
        <f t="array" ref="N16">TTEST(N3:N5,N9:N11,1,3)</f>
        <v>0.280144500287948</v>
      </c>
      <c r="O16" s="13" cm="1">
        <f t="array" ref="O16">TTEST(O3:O5,O9:O11,1,3)</f>
        <v>0.266155685908245</v>
      </c>
      <c r="P16" s="13" cm="1">
        <f t="array" ref="P16">TTEST(P3:P5,P9:P11,1,3)</f>
        <v>0.103829002481134</v>
      </c>
      <c r="Q16" s="13" cm="1">
        <f t="array" ref="Q16">TTEST(Q3:Q5,Q9:Q11,1,3)</f>
        <v>0.273482830182481</v>
      </c>
      <c r="R16" s="13" cm="1">
        <f t="array" ref="R16">TTEST(R3:R5,R9:R11,1,3)</f>
        <v>0.28035019993598</v>
      </c>
      <c r="S16" s="13" cm="1">
        <f t="array" ref="S16">TTEST(S3:S5,S9:S11,1,3)</f>
        <v>0.294918630011774</v>
      </c>
      <c r="T16" s="13" cm="1">
        <f t="array" ref="T16">TTEST(T3:T5,T9:T11,1,3)</f>
        <v>0.259259259259259</v>
      </c>
      <c r="U16" s="13" cm="1">
        <f t="array" ref="U16">TTEST(U3:U5,U9:U11,1,3)</f>
        <v>0.259259259259259</v>
      </c>
      <c r="V16" s="13" cm="1">
        <f t="array" ref="V16">TTEST(V3:V5,V9:V11,1,3)</f>
        <v>0.190230385798361</v>
      </c>
      <c r="W16" s="13" cm="1">
        <f t="array" ref="W16">TTEST(W3:W5,W9:W11,1,3)</f>
        <v>0.497990611139206</v>
      </c>
      <c r="X16" s="13" cm="1">
        <f t="array" ref="X16">TTEST(X3:X5,X9:X11,1,3)</f>
        <v>0.452956916689525</v>
      </c>
      <c r="Y16" s="13" cm="1">
        <f t="array" ref="Y16">TTEST(Y3:Y5,Y9:Y11,1,3)</f>
        <v>0.327973050658459</v>
      </c>
      <c r="Z16" s="13" cm="1">
        <f t="array" ref="Z16">TTEST(Z3:Z5,Z9:Z11,1,3)</f>
        <v>0.168253498258886</v>
      </c>
      <c r="AA16" s="13" cm="1">
        <f t="array" ref="AA16">TTEST(AA3:AA5,AA9:AA11,1,3)</f>
        <v>0.244062513630991</v>
      </c>
      <c r="AB16" s="13" cm="1">
        <f t="array" ref="AB16">TTEST(AB3:AB5,AB9:AB11,1,3)</f>
        <v>0.255720320166867</v>
      </c>
      <c r="AC16" s="13" cm="1">
        <f t="array" ref="AC16">TTEST(AC3:AC5,AC9:AC11,1,3)</f>
        <v>0.183976618697739</v>
      </c>
      <c r="AD16" s="13" cm="1">
        <f t="array" ref="AD16">TTEST(AD3:AD5,AD9:AD11,1,3)</f>
        <v>0.20898553727708</v>
      </c>
      <c r="AE16" s="13" cm="1">
        <f t="array" ref="AE16">TTEST(AE3:AE5,AE9:AE11,1,3)</f>
        <v>0.217401984645823</v>
      </c>
      <c r="AF16" s="13" cm="1">
        <f t="array" ref="AF16">TTEST(AF3:AF5,AF9:AF11,1,3)</f>
        <v>0.235850641568404</v>
      </c>
      <c r="AG16" s="13" cm="1">
        <f t="array" ref="AG16">TTEST(AG3:AG5,AG9:AG11,1,3)</f>
        <v>0.223198137102437</v>
      </c>
      <c r="AH16" s="13" cm="1">
        <f t="array" ref="AH16">TTEST(AH3:AH5,AH9:AH11,1,3)</f>
        <v>0.158706966455834</v>
      </c>
      <c r="AI16" s="13" cm="1">
        <f t="array" ref="AI16">TTEST(AI3:AI5,AI9:AI11,1,3)</f>
        <v>0.158706966455832</v>
      </c>
      <c r="AJ16" s="13" cm="1">
        <f t="array" ref="AJ16">TTEST(AJ3:AJ5,AJ9:AJ11,1,3)</f>
        <v>0.274392030170208</v>
      </c>
      <c r="AK16" s="13" cm="1">
        <f t="array" ref="AK16">TTEST(AK3:AK5,AK9:AK11,1,3)</f>
        <v>0.370780438977448</v>
      </c>
      <c r="AL16" s="13" cm="1">
        <f t="array" ref="AL16">TTEST(AL3:AL5,AL9:AL11,1,3)</f>
        <v>0.420307325941655</v>
      </c>
      <c r="AN16" s="13" cm="1">
        <f t="array" ref="AN16">TTEST(AN3:AN5,AN9:AN11,1,3)</f>
        <v>0.342336366240255</v>
      </c>
      <c r="AO16" s="13" cm="1">
        <f t="array" ref="AO16">TTEST(AO3:AO5,AO9:AO11,1,3)</f>
        <v>0.156910262728135</v>
      </c>
      <c r="AP16" s="13" cm="1">
        <f t="array" ref="AP16">TTEST(AP3:AP5,AP9:AP11,1,3)</f>
        <v>0.478751062578183</v>
      </c>
      <c r="AQ16" s="13" cm="1">
        <f t="array" ref="AQ16">TTEST(AQ3:AQ5,AQ9:AQ11,1,3)</f>
        <v>0.226228063380904</v>
      </c>
      <c r="AR16" s="13" cm="1">
        <f t="array" ref="AR16">TTEST(AR3:AR5,AR9:AR11,1,3)</f>
        <v>0.440955833060188</v>
      </c>
      <c r="AS16" s="13" cm="1">
        <f t="array" ref="AS16">TTEST(AS3:AS5,AS9:AS11,1,3)</f>
        <v>0.226398816942457</v>
      </c>
      <c r="AT16" s="13" cm="1">
        <f t="array" ref="AT16">TTEST(AT3:AT5,AT9:AT11,1,3)</f>
        <v>0.440914902046255</v>
      </c>
      <c r="AU16" s="13" cm="1">
        <f t="array" ref="AU16">TTEST(AU3:AU5,AU9:AU11,1,3)</f>
        <v>0.0699872421922474</v>
      </c>
      <c r="AV16" s="13" cm="1">
        <f t="array" ref="AV16">TTEST(AV3:AV5,AV9:AV11,1,3)</f>
        <v>0.152546365547892</v>
      </c>
      <c r="AW16" s="13" cm="1">
        <f t="array" ref="AW16">TTEST(AW3:AW5,AW9:AW11,1,3)</f>
        <v>0.120535044663095</v>
      </c>
      <c r="AX16" s="13" cm="1">
        <f t="array" ref="AX16">TTEST(AX3:AX5,AX9:AX11,1,3)</f>
        <v>0.303694602014968</v>
      </c>
      <c r="AY16" s="13" cm="1">
        <f t="array" ref="AY16">TTEST(AY3:AY5,AY9:AY11,1,3)</f>
        <v>0.143749925710582</v>
      </c>
      <c r="AZ16" s="13" cm="1">
        <f t="array" ref="AZ16">TTEST(AZ3:AZ5,AZ9:AZ11,1,3)</f>
        <v>0.461060264708641</v>
      </c>
      <c r="BA16" s="13" cm="1">
        <f t="array" ref="BA16">TTEST(BA3:BA5,BA9:BA11,1,3)</f>
        <v>0.111547421274868</v>
      </c>
      <c r="BB16" s="13" cm="1">
        <f t="array" ref="BB16">TTEST(BB3:BB5,BB9:BB11,1,3)</f>
        <v>0.392305964973826</v>
      </c>
      <c r="BC16" s="13" cm="1">
        <f t="array" ref="BC16">TTEST(BC3:BC5,BC9:BC11,1,3)</f>
        <v>0.0175901177560947</v>
      </c>
      <c r="BD16" s="13" cm="1">
        <f t="array" ref="BD16">TTEST(BD3:BD5,BD9:BD11,1,3)</f>
        <v>0.177622484849721</v>
      </c>
      <c r="BE16" s="13" cm="1">
        <f t="array" ref="BE16">TTEST(BE3:BE5,BE9:BE11,1,3)</f>
        <v>0.309362140971268</v>
      </c>
      <c r="BF16" s="13" cm="1">
        <f t="array" ref="BF16">TTEST(BF3:BF5,BF9:BF11,1,3)</f>
        <v>0.364365746606836</v>
      </c>
      <c r="BG16" s="13" cm="1">
        <f t="array" ref="BG16">TTEST(BG3:BG5,BG9:BG11,1,3)</f>
        <v>0.41006282687786</v>
      </c>
      <c r="BH16" s="13" cm="1">
        <f t="array" ref="BH16">TTEST(BH3:BH5,BH9:BH11,1,3)</f>
        <v>0.401379384313145</v>
      </c>
      <c r="BI16" s="13" cm="1">
        <f t="array" ref="BI16">TTEST(BI3:BI5,BI9:BI11,1,3)</f>
        <v>0.202535987072968</v>
      </c>
      <c r="BK16" s="13" cm="1">
        <f t="array" ref="BK16">TTEST(BK3:BK5,BK9:BK11,1,3)</f>
        <v>0.280077439045422</v>
      </c>
      <c r="BL16" s="13" cm="1">
        <f t="array" ref="BL16">TTEST(BL3:BL5,BL9:BL11,1,3)</f>
        <v>0.399442637107719</v>
      </c>
      <c r="BM16" s="13" cm="1">
        <f t="array" ref="BM16">TTEST(BM3:BM5,BM9:BM11,1,3)</f>
        <v>0.267398752834281</v>
      </c>
      <c r="BN16" s="13" cm="1">
        <f t="array" ref="BN16">TTEST(BN3:BN5,BN9:BN11,1,3)</f>
        <v>0.346273057598699</v>
      </c>
      <c r="BO16" s="13" cm="1">
        <f t="array" ref="BO16">TTEST(BO3:BO5,BO9:BO11,1,3)</f>
        <v>0.280607695375165</v>
      </c>
      <c r="BP16" s="13" cm="1">
        <f t="array" ref="BP16">TTEST(BP3:BP5,BP9:BP11,1,3)</f>
        <v>0.353296455659478</v>
      </c>
      <c r="BQ16" s="13" cm="1">
        <f t="array" ref="BQ16">TTEST(BQ3:BQ5,BQ9:BQ11,1,3)</f>
        <v>0.3852214352249</v>
      </c>
      <c r="BR16" s="13" cm="1">
        <f t="array" ref="BR16">TTEST(BR3:BR5,BR9:BR11,1,3)</f>
        <v>0.30754105871565</v>
      </c>
      <c r="BT16" s="13" cm="1">
        <f t="array" ref="BT16">TTEST(BT3:BT5,BT9:BT11,1,3)</f>
        <v>0.23712932011562</v>
      </c>
      <c r="BU16" s="13" cm="1">
        <f t="array" ref="BU16">TTEST(BU3:BU5,BU9:BU11,1,3)</f>
        <v>0.356499634218774</v>
      </c>
      <c r="BV16" s="13" cm="1">
        <f t="array" ref="BV16">TTEST(BV3:BV5,BV9:BV11,1,3)</f>
        <v>0.265834884794709</v>
      </c>
      <c r="BW16" s="13" cm="1">
        <f t="array" ref="BW16">TTEST(BW3:BW5,BW9:BW11,1,3)</f>
        <v>0.294854178088588</v>
      </c>
      <c r="BX16" s="13" cm="1">
        <f t="array" ref="BX16">TTEST(BX3:BX5,BX9:BX11,1,3)</f>
        <v>0.260230637460825</v>
      </c>
    </row>
    <row r="17" s="2" customFormat="1" ht="13.6" spans="1:76">
      <c r="A17" s="12"/>
      <c r="B17" s="12"/>
      <c r="C17" s="6" t="s">
        <v>152</v>
      </c>
      <c r="D17" s="13" cm="1">
        <f t="array" ref="D17">TTEST(D6:D8,D9:D11,1,3)</f>
        <v>0.356458981874435</v>
      </c>
      <c r="E17" s="13" cm="1">
        <f t="array" ref="E17">TTEST(E6:E8,E9:E11,1,3)</f>
        <v>0.347387604305871</v>
      </c>
      <c r="F17" s="13" cm="1">
        <f t="array" ref="F17">TTEST(F6:F8,F9:F11,1,3)</f>
        <v>0.103468169096129</v>
      </c>
      <c r="G17" s="13" cm="1">
        <f t="array" ref="G17">TTEST(G6:G8,G9:G11,1,3)</f>
        <v>0.31451103013894</v>
      </c>
      <c r="H17" s="13" cm="1">
        <f t="array" ref="H17">TTEST(H6:H8,H9:H11,1,3)</f>
        <v>0.261942129785029</v>
      </c>
      <c r="I17" s="13" cm="1">
        <f t="array" ref="I17">TTEST(I6:I8,I9:I11,1,3)</f>
        <v>0.360649416274902</v>
      </c>
      <c r="J17" s="13" cm="1">
        <f t="array" ref="J17">TTEST(J6:J8,J9:J11,1,3)</f>
        <v>0.423704832754663</v>
      </c>
      <c r="K17" s="13" cm="1">
        <f t="array" ref="K17">TTEST(K6:K8,K9:K11,1,3)</f>
        <v>0.487070999851954</v>
      </c>
      <c r="L17" s="13" cm="1">
        <f t="array" ref="L17">TTEST(L6:L8,L9:L11,1,3)</f>
        <v>0.158539014295566</v>
      </c>
      <c r="M17" s="13" cm="1">
        <f t="array" ref="M17">TTEST(M6:M8,M9:M11,1,3)</f>
        <v>0.293948228319625</v>
      </c>
      <c r="N17" s="13" cm="1">
        <f t="array" ref="N17">TTEST(N6:N8,N9:N11,1,3)</f>
        <v>0.352820237073591</v>
      </c>
      <c r="O17" s="13" cm="1">
        <f t="array" ref="O17">TTEST(O6:O8,O9:O11,1,3)</f>
        <v>0.350082382542322</v>
      </c>
      <c r="P17" s="13" cm="1">
        <f t="array" ref="P17">TTEST(P6:P8,P9:P11,1,3)</f>
        <v>0.0518288041572903</v>
      </c>
      <c r="Q17" s="13" cm="1">
        <f t="array" ref="Q17">TTEST(Q6:Q8,Q9:Q11,1,3)</f>
        <v>0.322422559695497</v>
      </c>
      <c r="R17" s="13" cm="1">
        <f t="array" ref="R17">TTEST(R6:R8,R9:R11,1,3)</f>
        <v>0.333271068805028</v>
      </c>
      <c r="S17" s="13" cm="1">
        <f t="array" ref="S17">TTEST(S6:S8,S9:S11,1,3)</f>
        <v>0.16129382996374</v>
      </c>
      <c r="T17" s="13" cm="1">
        <f t="array" ref="T17">TTEST(T6:T8,T9:T11,1,3)</f>
        <v>0.5</v>
      </c>
      <c r="U17" s="13" cm="1">
        <f t="array" ref="U17">TTEST(U6:U8,U9:U11,1,3)</f>
        <v>0.259259259259259</v>
      </c>
      <c r="V17" s="13" cm="1">
        <f t="array" ref="V17">TTEST(V6:V8,V9:V11,1,3)</f>
        <v>0.247068162237484</v>
      </c>
      <c r="W17" s="13" cm="1">
        <f t="array" ref="W17">TTEST(W6:W8,W9:W11,1,3)</f>
        <v>0.0811590749971272</v>
      </c>
      <c r="X17" s="13" cm="1">
        <f t="array" ref="X17">TTEST(X6:X8,X9:X11,1,3)</f>
        <v>0.0773863308802071</v>
      </c>
      <c r="Y17" s="13" cm="1">
        <f t="array" ref="Y17">TTEST(Y6:Y8,Y9:Y11,1,3)</f>
        <v>0.366627304501516</v>
      </c>
      <c r="Z17" s="13" cm="1">
        <f t="array" ref="Z17">TTEST(Z6:Z8,Z9:Z11,1,3)</f>
        <v>0.200123553985292</v>
      </c>
      <c r="AA17" s="13" cm="1">
        <f t="array" ref="AA17">TTEST(AA6:AA8,AA9:AA11,1,3)</f>
        <v>0.176709850294012</v>
      </c>
      <c r="AB17" s="13" cm="1">
        <f t="array" ref="AB17">TTEST(AB6:AB8,AB9:AB11,1,3)</f>
        <v>0.190085763276895</v>
      </c>
      <c r="AC17" s="13" cm="1">
        <f t="array" ref="AC17">TTEST(AC6:AC8,AC9:AC11,1,3)</f>
        <v>0.148741829395548</v>
      </c>
      <c r="AD17" s="13" cm="1">
        <f t="array" ref="AD17">TTEST(AD6:AD8,AD9:AD11,1,3)</f>
        <v>0.445499591560372</v>
      </c>
      <c r="AE17" s="13" cm="1">
        <f t="array" ref="AE17">TTEST(AE6:AE8,AE9:AE11,1,3)</f>
        <v>0.230833936080976</v>
      </c>
      <c r="AF17" s="13" cm="1">
        <f t="array" ref="AF17">TTEST(AF6:AF8,AF9:AF11,1,3)</f>
        <v>0.114181374906172</v>
      </c>
      <c r="AG17" s="13" cm="1">
        <f t="array" ref="AG17">TTEST(AG6:AG8,AG9:AG11,1,3)</f>
        <v>0.112999959182896</v>
      </c>
      <c r="AH17" s="13" cm="1">
        <f t="array" ref="AH17">TTEST(AH6:AH8,AH9:AH11,1,3)</f>
        <v>0.129497312962394</v>
      </c>
      <c r="AI17" s="13" cm="1">
        <f t="array" ref="AI17">TTEST(AI6:AI8,AI9:AI11,1,3)</f>
        <v>0.129497312962393</v>
      </c>
      <c r="AJ17" s="13" cm="1">
        <f t="array" ref="AJ17">TTEST(AJ6:AJ8,AJ9:AJ11,1,3)</f>
        <v>0.190088610520741</v>
      </c>
      <c r="AK17" s="13" cm="1">
        <f t="array" ref="AK17">TTEST(AK6:AK8,AK9:AK11,1,3)</f>
        <v>0.327041393954799</v>
      </c>
      <c r="AL17" s="13" cm="1">
        <f t="array" ref="AL17">TTEST(AL6:AL8,AL9:AL11,1,3)</f>
        <v>0.328798933686636</v>
      </c>
      <c r="AN17" s="13" cm="1">
        <f t="array" ref="AN17">TTEST(AN6:AN8,AN9:AN11,1,3)</f>
        <v>0.337882597491405</v>
      </c>
      <c r="AO17" s="13" cm="1">
        <f t="array" ref="AO17">TTEST(AO6:AO8,AO9:AO11,1,3)</f>
        <v>0.215506126554918</v>
      </c>
      <c r="AP17" s="13" cm="1">
        <f t="array" ref="AP17">TTEST(AP6:AP8,AP9:AP11,1,3)</f>
        <v>0.147635040644503</v>
      </c>
      <c r="AQ17" s="13" cm="1">
        <f t="array" ref="AQ17">TTEST(AQ6:AQ8,AQ9:AQ11,1,3)</f>
        <v>0.2555819853759</v>
      </c>
      <c r="AR17" s="13" cm="1">
        <f t="array" ref="AR17">TTEST(AR6:AR8,AR9:AR11,1,3)</f>
        <v>0.173733403008301</v>
      </c>
      <c r="AS17" s="13" cm="1">
        <f t="array" ref="AS17">TTEST(AS6:AS8,AS9:AS11,1,3)</f>
        <v>0.112659336539718</v>
      </c>
      <c r="AT17" s="13" cm="1">
        <f t="array" ref="AT17">TTEST(AT6:AT8,AT9:AT11,1,3)</f>
        <v>0.422986699140655</v>
      </c>
      <c r="AU17" s="13" cm="1">
        <f t="array" ref="AU17">TTEST(AU6:AU8,AU9:AU11,1,3)</f>
        <v>0.158363003780361</v>
      </c>
      <c r="AV17" s="13" cm="1">
        <f t="array" ref="AV17">TTEST(AV6:AV8,AV9:AV11,1,3)</f>
        <v>0.230739427677826</v>
      </c>
      <c r="AW17" s="13" cm="1">
        <f t="array" ref="AW17">TTEST(AW6:AW8,AW9:AW11,1,3)</f>
        <v>0.169937687673203</v>
      </c>
      <c r="AX17" s="13" cm="1">
        <f t="array" ref="AX17">TTEST(AX6:AX8,AX9:AX11,1,3)</f>
        <v>0.219815123714772</v>
      </c>
      <c r="AY17" s="13" cm="1">
        <f t="array" ref="AY17">TTEST(AY6:AY8,AY9:AY11,1,3)</f>
        <v>0.157322130060437</v>
      </c>
      <c r="AZ17" s="13" cm="1">
        <f t="array" ref="AZ17">TTEST(AZ6:AZ8,AZ9:AZ11,1,3)</f>
        <v>0.19635370381128</v>
      </c>
      <c r="BA17" s="13" cm="1">
        <f t="array" ref="BA17">TTEST(BA6:BA8,BA9:BA11,1,3)</f>
        <v>0.0192762864950417</v>
      </c>
      <c r="BB17" s="13" cm="1">
        <f t="array" ref="BB17">TTEST(BB6:BB8,BB9:BB11,1,3)</f>
        <v>0.126431602025407</v>
      </c>
      <c r="BC17" s="13" cm="1">
        <f t="array" ref="BC17">TTEST(BC6:BC8,BC9:BC11,1,3)</f>
        <v>0.159263935594768</v>
      </c>
      <c r="BD17" s="13" cm="1">
        <f t="array" ref="BD17">TTEST(BD6:BD8,BD9:BD11,1,3)</f>
        <v>0.284705831843628</v>
      </c>
      <c r="BE17" s="13" cm="1">
        <f t="array" ref="BE17">TTEST(BE6:BE8,BE9:BE11,1,3)</f>
        <v>0.139170087919879</v>
      </c>
      <c r="BF17" s="13" cm="1">
        <f t="array" ref="BF17">TTEST(BF6:BF8,BF9:BF11,1,3)</f>
        <v>0.455746364656149</v>
      </c>
      <c r="BG17" s="13" cm="1">
        <f t="array" ref="BG17">TTEST(BG6:BG8,BG9:BG11,1,3)</f>
        <v>0.270953867826465</v>
      </c>
      <c r="BH17" s="13" cm="1">
        <f t="array" ref="BH17">TTEST(BH6:BH8,BH9:BH11,1,3)</f>
        <v>0.333550278083277</v>
      </c>
      <c r="BI17" s="13" cm="1">
        <f t="array" ref="BI17">TTEST(BI6:BI8,BI9:BI11,1,3)</f>
        <v>0.21979985297743</v>
      </c>
      <c r="BK17" s="13" cm="1">
        <f t="array" ref="BK17">TTEST(BK6:BK8,BK9:BK11,1,3)</f>
        <v>0.173661748730918</v>
      </c>
      <c r="BL17" s="13" cm="1">
        <f t="array" ref="BL17">TTEST(BL6:BL8,BL9:BL11,1,3)</f>
        <v>0.317862542723881</v>
      </c>
      <c r="BM17" s="13" cm="1">
        <f t="array" ref="BM17">TTEST(BM6:BM8,BM9:BM11,1,3)</f>
        <v>0.135091469872291</v>
      </c>
      <c r="BN17" s="13" cm="1">
        <f t="array" ref="BN17">TTEST(BN6:BN8,BN9:BN11,1,3)</f>
        <v>0.5</v>
      </c>
      <c r="BO17" s="13" cm="1">
        <f t="array" ref="BO17">TTEST(BO6:BO8,BO9:BO11,1,3)</f>
        <v>0.160777111119373</v>
      </c>
      <c r="BP17" s="13" cm="1">
        <f t="array" ref="BP17">TTEST(BP6:BP8,BP9:BP11,1,3)</f>
        <v>0.432669793398283</v>
      </c>
      <c r="BQ17" s="13" cm="1">
        <f t="array" ref="BQ17">TTEST(BQ6:BQ8,BQ9:BQ11,1,3)</f>
        <v>0.5</v>
      </c>
      <c r="BR17" s="13" cm="1">
        <f t="array" ref="BR17">TTEST(BR6:BR8,BR9:BR11,1,3)</f>
        <v>0.5</v>
      </c>
      <c r="BT17" s="13" cm="1">
        <f t="array" ref="BT17">TTEST(BT6:BT8,BT9:BT11,1,3)</f>
        <v>0.208373518284127</v>
      </c>
      <c r="BU17" s="13" cm="1">
        <f t="array" ref="BU17">TTEST(BU6:BU8,BU9:BU11,1,3)</f>
        <v>0.237369526666512</v>
      </c>
      <c r="BV17" s="13" cm="1">
        <f t="array" ref="BV17">TTEST(BV6:BV8,BV9:BV11,1,3)</f>
        <v>0.232024972029302</v>
      </c>
      <c r="BW17" s="13" cm="1">
        <f t="array" ref="BW17">TTEST(BW6:BW8,BW9:BW11,1,3)</f>
        <v>0.299280199359405</v>
      </c>
      <c r="BX17" s="13" cm="1">
        <f t="array" ref="BX17">TTEST(BX6:BX8,BX9:BX11,1,3)</f>
        <v>0.232147920157942</v>
      </c>
    </row>
  </sheetData>
  <mergeCells count="2">
    <mergeCell ref="A12:B14"/>
    <mergeCell ref="A15:B17"/>
  </mergeCells>
  <conditionalFormatting sqref="A12">
    <cfRule type="cellIs" dxfId="0" priority="9" operator="equal">
      <formula>"雄性"</formula>
    </cfRule>
    <cfRule type="cellIs" dxfId="1" priority="10" operator="equal">
      <formula>"雌性"</formula>
    </cfRule>
  </conditionalFormatting>
  <conditionalFormatting sqref="C3:C11">
    <cfRule type="cellIs" dxfId="0" priority="3" operator="equal">
      <formula>"雄性"</formula>
    </cfRule>
    <cfRule type="cellIs" dxfId="1" priority="4" operator="equal">
      <formula>"雌性"</formula>
    </cfRule>
  </conditionalFormatting>
  <conditionalFormatting sqref="D15:E17 AN15:BI17">
    <cfRule type="cellIs" dxfId="2" priority="8" operator="lessThan">
      <formula>0.05</formula>
    </cfRule>
  </conditionalFormatting>
  <conditionalFormatting sqref="F15:AL17">
    <cfRule type="cellIs" dxfId="2" priority="7" operator="lessThan">
      <formula>0.05</formula>
    </cfRule>
  </conditionalFormatting>
  <conditionalFormatting sqref="BK15:BR17">
    <cfRule type="cellIs" dxfId="2" priority="6" operator="lessThan">
      <formula>0.05</formula>
    </cfRule>
  </conditionalFormatting>
  <conditionalFormatting sqref="BT15:BX17">
    <cfRule type="cellIs" dxfId="2" priority="5" operator="lessThan">
      <formula>0.05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动物分组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</dc:creator>
  <cp:lastModifiedBy>XST</cp:lastModifiedBy>
  <dcterms:created xsi:type="dcterms:W3CDTF">2026-02-12T12:30:56Z</dcterms:created>
  <dcterms:modified xsi:type="dcterms:W3CDTF">2026-02-12T12:35:27Z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48545F4A091F527280578D695079AEF8_41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